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Code\"/>
    </mc:Choice>
  </mc:AlternateContent>
  <xr:revisionPtr revIDLastSave="0" documentId="13_ncr:1_{27573A1A-4D60-4776-8B9C-86241A66D1F8}" xr6:coauthVersionLast="47" xr6:coauthVersionMax="47" xr10:uidLastSave="{00000000-0000-0000-0000-000000000000}"/>
  <bookViews>
    <workbookView xWindow="-120" yWindow="-120" windowWidth="51840" windowHeight="21120" activeTab="3" xr2:uid="{00000000-000D-0000-FFFF-FFFF00000000}"/>
  </bookViews>
  <sheets>
    <sheet name="supply_chain_dashboard_raw_data" sheetId="2" r:id="rId1"/>
    <sheet name="Data" sheetId="3" r:id="rId2"/>
    <sheet name="Pivot" sheetId="4" r:id="rId3"/>
    <sheet name="Dashboard" sheetId="5" r:id="rId4"/>
  </sheets>
  <definedNames>
    <definedName name="ExternalData_1" localSheetId="1" hidden="1">Data!$A$1:$O$21</definedName>
    <definedName name="ExternalData_1" localSheetId="0" hidden="1">supply_chain_dashboard_raw_data!$A$1:$O$21</definedName>
    <definedName name="Slicer_Category">#N/A</definedName>
    <definedName name="Slicer_Distribution_Center">#N/A</definedName>
    <definedName name="Slicer_Grower">#N/A</definedName>
    <definedName name="Slicer_Mode">#N/A</definedName>
    <definedName name="Slicer_Quarter">#N/A</definedName>
    <definedName name="Slicer_Shipper">#N/A</definedName>
  </definedNames>
  <calcPr calcId="191029"/>
  <pivotCaches>
    <pivotCache cacheId="34"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3" l="1"/>
  <c r="P3" i="3"/>
  <c r="P4" i="3"/>
  <c r="P5" i="3"/>
  <c r="P6" i="3"/>
  <c r="P7" i="3"/>
  <c r="P8" i="3"/>
  <c r="P9" i="3"/>
  <c r="P10" i="3"/>
  <c r="P11" i="3"/>
  <c r="P12" i="3"/>
  <c r="P13" i="3"/>
  <c r="P14" i="3"/>
  <c r="P15" i="3"/>
  <c r="P16" i="3"/>
  <c r="P17" i="3"/>
  <c r="P18" i="3"/>
  <c r="P19" i="3"/>
  <c r="P20" i="3"/>
  <c r="P21" i="3"/>
  <c r="Q2" i="3"/>
  <c r="Q3" i="3"/>
  <c r="Q4" i="3"/>
  <c r="Q5" i="3"/>
  <c r="Q6" i="3"/>
  <c r="Q7" i="3"/>
  <c r="Q8" i="3"/>
  <c r="Q9" i="3"/>
  <c r="Q10" i="3"/>
  <c r="Q11" i="3"/>
  <c r="Q12" i="3"/>
  <c r="Q13" i="3"/>
  <c r="Q14" i="3"/>
  <c r="Q15" i="3"/>
  <c r="Q16" i="3"/>
  <c r="Q17" i="3"/>
  <c r="Q18" i="3"/>
  <c r="Q19" i="3"/>
  <c r="Q20" i="3"/>
  <c r="Q2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C4C45F1-394D-4265-ABF9-132E561113DB}" keepAlive="1" name="Query - supply_chain_dashboard_raw_data" description="Connection to the 'supply_chain_dashboard_raw_data' query in the workbook." type="5" refreshedVersion="8" background="1" saveData="1">
    <dbPr connection="Provider=Microsoft.Mashup.OleDb.1;Data Source=$Workbook$;Location=supply_chain_dashboard_raw_data;Extended Properties=&quot;&quot;" command="SELECT * FROM [supply_chain_dashboard_raw_data]"/>
  </connection>
  <connection id="2" xr16:uid="{A57A8C2F-6014-4067-A720-8C3020CA289C}" keepAlive="1" name="Query - supply_chain_dashboard_raw_data (2)" description="Connection to the 'supply_chain_dashboard_raw_data (2)' query in the workbook." type="5" refreshedVersion="8" background="1" saveData="1">
    <dbPr connection="Provider=Microsoft.Mashup.OleDb.1;Data Source=$Workbook$;Location=&quot;supply_chain_dashboard_raw_data (2)&quot;;Extended Properties=&quot;&quot;" command="SELECT * FROM [supply_chain_dashboard_raw_data (2)]"/>
  </connection>
</connections>
</file>

<file path=xl/sharedStrings.xml><?xml version="1.0" encoding="utf-8"?>
<sst xmlns="http://schemas.openxmlformats.org/spreadsheetml/2006/main" count="425" uniqueCount="86">
  <si>
    <t>Date</t>
  </si>
  <si>
    <t>Week</t>
  </si>
  <si>
    <t>Quarter</t>
  </si>
  <si>
    <t>Distribution Center</t>
  </si>
  <si>
    <t>Category</t>
  </si>
  <si>
    <t>Sub-Category</t>
  </si>
  <si>
    <t>Mode</t>
  </si>
  <si>
    <t>Shipper</t>
  </si>
  <si>
    <t>Grower</t>
  </si>
  <si>
    <t>SKU</t>
  </si>
  <si>
    <t>Ordered Qty</t>
  </si>
  <si>
    <t>Filled Qty</t>
  </si>
  <si>
    <t>Unsaleable Qty</t>
  </si>
  <si>
    <t>Total Cost</t>
  </si>
  <si>
    <t>Stores Ordered</t>
  </si>
  <si>
    <t>Q3</t>
  </si>
  <si>
    <t>DC North</t>
  </si>
  <si>
    <t>Green Grapes</t>
  </si>
  <si>
    <t>Grapes</t>
  </si>
  <si>
    <t>CV</t>
  </si>
  <si>
    <t>DHL</t>
  </si>
  <si>
    <t>FreshFields</t>
  </si>
  <si>
    <t>GG001</t>
  </si>
  <si>
    <t>Specialty Grapes</t>
  </si>
  <si>
    <t>SunGrow</t>
  </si>
  <si>
    <t>SG001</t>
  </si>
  <si>
    <t>Q4</t>
  </si>
  <si>
    <t>DC South</t>
  </si>
  <si>
    <t>Red Grapes</t>
  </si>
  <si>
    <t>ORG</t>
  </si>
  <si>
    <t>UPS</t>
  </si>
  <si>
    <t>VineHarvest</t>
  </si>
  <si>
    <t>RG001</t>
  </si>
  <si>
    <t>Duo</t>
  </si>
  <si>
    <t>FruitLine</t>
  </si>
  <si>
    <t>DU001</t>
  </si>
  <si>
    <t>DC East</t>
  </si>
  <si>
    <t>Peppers</t>
  </si>
  <si>
    <t>HH Veg</t>
  </si>
  <si>
    <t>GreenFarm</t>
  </si>
  <si>
    <t>PP001</t>
  </si>
  <si>
    <t>Lemons</t>
  </si>
  <si>
    <t>Citrus</t>
  </si>
  <si>
    <t>CitrusPro</t>
  </si>
  <si>
    <t>LM001</t>
  </si>
  <si>
    <t>DC West</t>
  </si>
  <si>
    <t>Oranges</t>
  </si>
  <si>
    <t>OrangeFresh</t>
  </si>
  <si>
    <t>OR001</t>
  </si>
  <si>
    <t>Mandarins</t>
  </si>
  <si>
    <t>GoldenFruit</t>
  </si>
  <si>
    <t>MD001</t>
  </si>
  <si>
    <t>Tomatoes</t>
  </si>
  <si>
    <t>FreshHarvest</t>
  </si>
  <si>
    <t>TM001</t>
  </si>
  <si>
    <t>Cukes</t>
  </si>
  <si>
    <t>FarmHouse</t>
  </si>
  <si>
    <t>CK001</t>
  </si>
  <si>
    <t>Q1</t>
  </si>
  <si>
    <t>Specialty Citrus</t>
  </si>
  <si>
    <t>SC001</t>
  </si>
  <si>
    <t>GG002</t>
  </si>
  <si>
    <t>SG002</t>
  </si>
  <si>
    <t>RG002</t>
  </si>
  <si>
    <t>DU002</t>
  </si>
  <si>
    <t>PP002</t>
  </si>
  <si>
    <t>LM002</t>
  </si>
  <si>
    <t>OR002</t>
  </si>
  <si>
    <t>MD002</t>
  </si>
  <si>
    <t>TM002</t>
  </si>
  <si>
    <t>Row Labels</t>
  </si>
  <si>
    <t>Grand Total</t>
  </si>
  <si>
    <t>Average of Total Cost</t>
  </si>
  <si>
    <t>2025</t>
  </si>
  <si>
    <t>2024</t>
  </si>
  <si>
    <t>&lt;23/09/2024 Average</t>
  </si>
  <si>
    <t>2024 Average</t>
  </si>
  <si>
    <t>2025 Average</t>
  </si>
  <si>
    <t>&gt;11/03/2025 Average</t>
  </si>
  <si>
    <t>Avg Fill Rate %</t>
  </si>
  <si>
    <t>Avg Unsaleable %</t>
  </si>
  <si>
    <t>Sum of Avg Unsaleable %</t>
  </si>
  <si>
    <t>Average of Avg Fill Rate %</t>
  </si>
  <si>
    <t>Sum of Ordered Qty</t>
  </si>
  <si>
    <t>Sum of Stores Ordered</t>
  </si>
  <si>
    <t>Fresh Produce Supply Chain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</si>
</sst>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quot;€&quot;\ #,##0.00"/>
  </numFmts>
  <fonts count="4" x14ac:knownFonts="1">
    <font>
      <sz val="11"/>
      <color theme="1"/>
      <name val="Calibri"/>
      <family val="2"/>
      <scheme val="minor"/>
    </font>
    <font>
      <sz val="11"/>
      <color theme="1"/>
      <name val="Calibri"/>
      <family val="2"/>
      <scheme val="minor"/>
    </font>
    <font>
      <sz val="11"/>
      <color theme="0" tint="-4.9989318521683403E-2"/>
      <name val="Calibri"/>
      <family val="2"/>
      <scheme val="minor"/>
    </font>
    <font>
      <b/>
      <sz val="20"/>
      <color theme="0" tint="-4.9989318521683403E-2"/>
      <name val="Calibri"/>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14" fontId="0" fillId="0" borderId="0" xfId="0" applyNumberFormat="1"/>
    <xf numFmtId="0"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9" fontId="0" fillId="0" borderId="0" xfId="1" applyFont="1"/>
    <xf numFmtId="9" fontId="0" fillId="0" borderId="0" xfId="0" applyNumberFormat="1"/>
    <xf numFmtId="10" fontId="0" fillId="0" borderId="0" xfId="0" applyNumberFormat="1"/>
    <xf numFmtId="0" fontId="2" fillId="2" borderId="0" xfId="0" applyFont="1" applyFill="1"/>
    <xf numFmtId="0" fontId="3" fillId="2" borderId="0" xfId="0" applyFont="1" applyFill="1" applyAlignment="1">
      <alignment horizontal="center" vertical="center"/>
    </xf>
  </cellXfs>
  <cellStyles count="2">
    <cellStyle name="Normal" xfId="0" builtinId="0"/>
    <cellStyle name="Percent" xfId="1" builtinId="5"/>
  </cellStyles>
  <dxfs count="21">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onnections" Target="connection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 Produce Supply Chain Performance Dashboard (Excel).xlsx]Pivot!PivotTable1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Fill</a:t>
            </a:r>
            <a:r>
              <a:rPr lang="en-US" baseline="0"/>
              <a:t> rate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L"/>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Pivot!$A$2:$A$46</c:f>
              <c:multiLvlStrCache>
                <c:ptCount val="20"/>
                <c:lvl>
                  <c:pt idx="0">
                    <c:v>2024</c:v>
                  </c:pt>
                  <c:pt idx="1">
                    <c:v>2024</c:v>
                  </c:pt>
                  <c:pt idx="2">
                    <c:v>2024</c:v>
                  </c:pt>
                  <c:pt idx="3">
                    <c:v>2024</c:v>
                  </c:pt>
                  <c:pt idx="4">
                    <c:v>2024</c:v>
                  </c:pt>
                  <c:pt idx="5">
                    <c:v>2024</c:v>
                  </c:pt>
                  <c:pt idx="6">
                    <c:v>2024</c:v>
                  </c:pt>
                  <c:pt idx="7">
                    <c:v>2024</c:v>
                  </c:pt>
                  <c:pt idx="8">
                    <c:v>2024</c:v>
                  </c:pt>
                  <c:pt idx="9">
                    <c:v>2024</c:v>
                  </c:pt>
                  <c:pt idx="10">
                    <c:v>2025</c:v>
                  </c:pt>
                  <c:pt idx="11">
                    <c:v>2025</c:v>
                  </c:pt>
                  <c:pt idx="12">
                    <c:v>2025</c:v>
                  </c:pt>
                  <c:pt idx="13">
                    <c:v>2025</c:v>
                  </c:pt>
                  <c:pt idx="14">
                    <c:v>2025</c:v>
                  </c:pt>
                  <c:pt idx="15">
                    <c:v>2025</c:v>
                  </c:pt>
                  <c:pt idx="16">
                    <c:v>2025</c:v>
                  </c:pt>
                  <c:pt idx="17">
                    <c:v>2025</c:v>
                  </c:pt>
                  <c:pt idx="18">
                    <c:v>2025</c:v>
                  </c:pt>
                  <c:pt idx="19">
                    <c:v>2025</c:v>
                  </c:pt>
                </c:lvl>
                <c:lvl>
                  <c:pt idx="0">
                    <c:v>50</c:v>
                  </c:pt>
                  <c:pt idx="1">
                    <c:v>49</c:v>
                  </c:pt>
                  <c:pt idx="2">
                    <c:v>48</c:v>
                  </c:pt>
                  <c:pt idx="3">
                    <c:v>47</c:v>
                  </c:pt>
                  <c:pt idx="4">
                    <c:v>46</c:v>
                  </c:pt>
                  <c:pt idx="5">
                    <c:v>43</c:v>
                  </c:pt>
                  <c:pt idx="6">
                    <c:v>42</c:v>
                  </c:pt>
                  <c:pt idx="7">
                    <c:v>41</c:v>
                  </c:pt>
                  <c:pt idx="8">
                    <c:v>40</c:v>
                  </c:pt>
                  <c:pt idx="9">
                    <c:v>39</c:v>
                  </c:pt>
                  <c:pt idx="10">
                    <c:v>10</c:v>
                  </c:pt>
                  <c:pt idx="11">
                    <c:v>9</c:v>
                  </c:pt>
                  <c:pt idx="12">
                    <c:v>8</c:v>
                  </c:pt>
                  <c:pt idx="13">
                    <c:v>7</c:v>
                  </c:pt>
                  <c:pt idx="14">
                    <c:v>6</c:v>
                  </c:pt>
                  <c:pt idx="15">
                    <c:v>5</c:v>
                  </c:pt>
                  <c:pt idx="16">
                    <c:v>4</c:v>
                  </c:pt>
                  <c:pt idx="17">
                    <c:v>3</c:v>
                  </c:pt>
                  <c:pt idx="18">
                    <c:v>2</c:v>
                  </c:pt>
                  <c:pt idx="19">
                    <c:v>1</c:v>
                  </c:pt>
                </c:lvl>
              </c:multiLvlStrCache>
            </c:multiLvlStrRef>
          </c:cat>
          <c:val>
            <c:numRef>
              <c:f>Pivot!$B$2:$B$46</c:f>
              <c:numCache>
                <c:formatCode>0.00%</c:formatCode>
                <c:ptCount val="20"/>
                <c:pt idx="0">
                  <c:v>0.86586231369765787</c:v>
                </c:pt>
                <c:pt idx="1">
                  <c:v>0.90134847409510288</c:v>
                </c:pt>
                <c:pt idx="2">
                  <c:v>1.0149041873669269</c:v>
                </c:pt>
                <c:pt idx="3">
                  <c:v>1.0361958836053939</c:v>
                </c:pt>
                <c:pt idx="4">
                  <c:v>1.1284599006387508</c:v>
                </c:pt>
                <c:pt idx="5">
                  <c:v>0.96522356281050392</c:v>
                </c:pt>
                <c:pt idx="6">
                  <c:v>0.85876508161816889</c:v>
                </c:pt>
                <c:pt idx="7">
                  <c:v>1.0929737402413058</c:v>
                </c:pt>
                <c:pt idx="8">
                  <c:v>0.93683463449254789</c:v>
                </c:pt>
                <c:pt idx="9">
                  <c:v>1.0432931156848828</c:v>
                </c:pt>
                <c:pt idx="10">
                  <c:v>0.8942512420156139</c:v>
                </c:pt>
                <c:pt idx="11">
                  <c:v>1.071682044002839</c:v>
                </c:pt>
                <c:pt idx="12">
                  <c:v>1.0078069552874378</c:v>
                </c:pt>
                <c:pt idx="13">
                  <c:v>0.97941802696948188</c:v>
                </c:pt>
                <c:pt idx="14">
                  <c:v>1.0503903477643719</c:v>
                </c:pt>
                <c:pt idx="15">
                  <c:v>0.91554293825408095</c:v>
                </c:pt>
                <c:pt idx="16">
                  <c:v>1.071682044002839</c:v>
                </c:pt>
                <c:pt idx="17">
                  <c:v>0.90844570617459186</c:v>
                </c:pt>
                <c:pt idx="18">
                  <c:v>1.0645848119233499</c:v>
                </c:pt>
                <c:pt idx="19">
                  <c:v>1.1923349893541519</c:v>
                </c:pt>
              </c:numCache>
            </c:numRef>
          </c:val>
          <c:smooth val="0"/>
          <c:extLst>
            <c:ext xmlns:c16="http://schemas.microsoft.com/office/drawing/2014/chart" uri="{C3380CC4-5D6E-409C-BE32-E72D297353CC}">
              <c16:uniqueId val="{00000000-FAF1-42FD-88FA-27B7C6EB0A4C}"/>
            </c:ext>
          </c:extLst>
        </c:ser>
        <c:dLbls>
          <c:dLblPos val="t"/>
          <c:showLegendKey val="0"/>
          <c:showVal val="1"/>
          <c:showCatName val="0"/>
          <c:showSerName val="0"/>
          <c:showPercent val="0"/>
          <c:showBubbleSize val="0"/>
        </c:dLbls>
        <c:marker val="1"/>
        <c:smooth val="0"/>
        <c:axId val="1194289295"/>
        <c:axId val="1194290255"/>
      </c:lineChart>
      <c:catAx>
        <c:axId val="1194289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194290255"/>
        <c:crosses val="autoZero"/>
        <c:auto val="1"/>
        <c:lblAlgn val="ctr"/>
        <c:lblOffset val="100"/>
        <c:noMultiLvlLbl val="0"/>
      </c:catAx>
      <c:valAx>
        <c:axId val="11942902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194289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 Produce Supply Chain Performance Dashboard (Excel).xlsx]Pivot!PivotTable2</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Fill Rate and Unsaleable by categorie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Pivot!$G$26</c:f>
              <c:strCache>
                <c:ptCount val="1"/>
                <c:pt idx="0">
                  <c:v>Average of Avg Fill Rate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Pivot!$F$27:$F$38</c:f>
              <c:strCache>
                <c:ptCount val="11"/>
                <c:pt idx="0">
                  <c:v>Cukes</c:v>
                </c:pt>
                <c:pt idx="1">
                  <c:v>Duo</c:v>
                </c:pt>
                <c:pt idx="2">
                  <c:v>Green Grapes</c:v>
                </c:pt>
                <c:pt idx="3">
                  <c:v>Lemons</c:v>
                </c:pt>
                <c:pt idx="4">
                  <c:v>Mandarins</c:v>
                </c:pt>
                <c:pt idx="5">
                  <c:v>Oranges</c:v>
                </c:pt>
                <c:pt idx="6">
                  <c:v>Peppers</c:v>
                </c:pt>
                <c:pt idx="7">
                  <c:v>Red Grapes</c:v>
                </c:pt>
                <c:pt idx="8">
                  <c:v>Specialty Citrus</c:v>
                </c:pt>
                <c:pt idx="9">
                  <c:v>Specialty Grapes</c:v>
                </c:pt>
                <c:pt idx="10">
                  <c:v>Tomatoes</c:v>
                </c:pt>
              </c:strCache>
            </c:strRef>
          </c:cat>
          <c:val>
            <c:numRef>
              <c:f>Pivot!$G$27:$G$38</c:f>
              <c:numCache>
                <c:formatCode>0%</c:formatCode>
                <c:ptCount val="11"/>
                <c:pt idx="0">
                  <c:v>0.99569892473118282</c:v>
                </c:pt>
                <c:pt idx="1">
                  <c:v>0.92384353741496605</c:v>
                </c:pt>
                <c:pt idx="2">
                  <c:v>0.98726005253586591</c:v>
                </c:pt>
                <c:pt idx="3">
                  <c:v>0.96149724192277386</c:v>
                </c:pt>
                <c:pt idx="4">
                  <c:v>0.98690721649484536</c:v>
                </c:pt>
                <c:pt idx="5">
                  <c:v>0.96758194186765611</c:v>
                </c:pt>
                <c:pt idx="6">
                  <c:v>0.95415747549019603</c:v>
                </c:pt>
                <c:pt idx="7">
                  <c:v>1.0064905962384953</c:v>
                </c:pt>
                <c:pt idx="8">
                  <c:v>0.998</c:v>
                </c:pt>
                <c:pt idx="9">
                  <c:v>0.99447789447972634</c:v>
                </c:pt>
                <c:pt idx="10">
                  <c:v>0.94547872340425532</c:v>
                </c:pt>
              </c:numCache>
            </c:numRef>
          </c:val>
          <c:extLst>
            <c:ext xmlns:c16="http://schemas.microsoft.com/office/drawing/2014/chart" uri="{C3380CC4-5D6E-409C-BE32-E72D297353CC}">
              <c16:uniqueId val="{00000000-1F43-48C8-AAC9-9B0696BB1E9C}"/>
            </c:ext>
          </c:extLst>
        </c:ser>
        <c:dLbls>
          <c:showLegendKey val="0"/>
          <c:showVal val="1"/>
          <c:showCatName val="0"/>
          <c:showSerName val="0"/>
          <c:showPercent val="0"/>
          <c:showBubbleSize val="0"/>
        </c:dLbls>
        <c:gapWidth val="219"/>
        <c:overlap val="-27"/>
        <c:axId val="1918672575"/>
        <c:axId val="1918673535"/>
      </c:barChart>
      <c:lineChart>
        <c:grouping val="standard"/>
        <c:varyColors val="0"/>
        <c:ser>
          <c:idx val="1"/>
          <c:order val="1"/>
          <c:tx>
            <c:strRef>
              <c:f>Pivot!$H$26</c:f>
              <c:strCache>
                <c:ptCount val="1"/>
                <c:pt idx="0">
                  <c:v>Sum of Avg Unsaleable %</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Pivot!$F$27:$F$38</c:f>
              <c:strCache>
                <c:ptCount val="11"/>
                <c:pt idx="0">
                  <c:v>Cukes</c:v>
                </c:pt>
                <c:pt idx="1">
                  <c:v>Duo</c:v>
                </c:pt>
                <c:pt idx="2">
                  <c:v>Green Grapes</c:v>
                </c:pt>
                <c:pt idx="3">
                  <c:v>Lemons</c:v>
                </c:pt>
                <c:pt idx="4">
                  <c:v>Mandarins</c:v>
                </c:pt>
                <c:pt idx="5">
                  <c:v>Oranges</c:v>
                </c:pt>
                <c:pt idx="6">
                  <c:v>Peppers</c:v>
                </c:pt>
                <c:pt idx="7">
                  <c:v>Red Grapes</c:v>
                </c:pt>
                <c:pt idx="8">
                  <c:v>Specialty Citrus</c:v>
                </c:pt>
                <c:pt idx="9">
                  <c:v>Specialty Grapes</c:v>
                </c:pt>
                <c:pt idx="10">
                  <c:v>Tomatoes</c:v>
                </c:pt>
              </c:strCache>
            </c:strRef>
          </c:cat>
          <c:val>
            <c:numRef>
              <c:f>Pivot!$H$27:$H$38</c:f>
              <c:numCache>
                <c:formatCode>0%</c:formatCode>
                <c:ptCount val="11"/>
                <c:pt idx="0">
                  <c:v>5.7956989247311831E-2</c:v>
                </c:pt>
                <c:pt idx="1">
                  <c:v>7.0000000000000007E-2</c:v>
                </c:pt>
                <c:pt idx="2">
                  <c:v>6.6712467165083861E-2</c:v>
                </c:pt>
                <c:pt idx="3">
                  <c:v>0.14095744680851063</c:v>
                </c:pt>
                <c:pt idx="4">
                  <c:v>0.14132591609676431</c:v>
                </c:pt>
                <c:pt idx="5">
                  <c:v>0.16447948876520307</c:v>
                </c:pt>
                <c:pt idx="6">
                  <c:v>0.20001838235294117</c:v>
                </c:pt>
                <c:pt idx="7">
                  <c:v>9.3939575830332134E-2</c:v>
                </c:pt>
                <c:pt idx="8">
                  <c:v>5.8000000000000003E-2</c:v>
                </c:pt>
                <c:pt idx="9">
                  <c:v>0.13500977039570103</c:v>
                </c:pt>
                <c:pt idx="10">
                  <c:v>0.17097826086956522</c:v>
                </c:pt>
              </c:numCache>
            </c:numRef>
          </c:val>
          <c:smooth val="0"/>
          <c:extLst>
            <c:ext xmlns:c16="http://schemas.microsoft.com/office/drawing/2014/chart" uri="{C3380CC4-5D6E-409C-BE32-E72D297353CC}">
              <c16:uniqueId val="{00000001-1F43-48C8-AAC9-9B0696BB1E9C}"/>
            </c:ext>
          </c:extLst>
        </c:ser>
        <c:dLbls>
          <c:showLegendKey val="0"/>
          <c:showVal val="1"/>
          <c:showCatName val="0"/>
          <c:showSerName val="0"/>
          <c:showPercent val="0"/>
          <c:showBubbleSize val="0"/>
        </c:dLbls>
        <c:marker val="1"/>
        <c:smooth val="0"/>
        <c:axId val="1918672575"/>
        <c:axId val="1918673535"/>
      </c:lineChart>
      <c:catAx>
        <c:axId val="1918672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918673535"/>
        <c:crosses val="autoZero"/>
        <c:auto val="1"/>
        <c:lblAlgn val="ctr"/>
        <c:lblOffset val="100"/>
        <c:noMultiLvlLbl val="0"/>
      </c:catAx>
      <c:valAx>
        <c:axId val="19186735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918672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 Produce Supply Chain Performance Dashboard (Excel).xlsx]Pivot!PivotTable5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Ordered Qty by Mode</a:t>
            </a:r>
            <a:endParaRPr lang="en-US"/>
          </a:p>
        </c:rich>
      </c:tx>
      <c:layout>
        <c:manualLayout>
          <c:xMode val="edge"/>
          <c:yMode val="edge"/>
          <c:x val="0.27027777777777778"/>
          <c:y val="0.1424978127734033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L"/>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L"/>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Pivot!$B$48</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L"/>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Pivot!$A$49:$A$51</c:f>
              <c:strCache>
                <c:ptCount val="2"/>
                <c:pt idx="0">
                  <c:v>CV</c:v>
                </c:pt>
                <c:pt idx="1">
                  <c:v>ORG</c:v>
                </c:pt>
              </c:strCache>
            </c:strRef>
          </c:cat>
          <c:val>
            <c:numRef>
              <c:f>Pivot!$B$49:$B$51</c:f>
              <c:numCache>
                <c:formatCode>0.00%</c:formatCode>
                <c:ptCount val="2"/>
                <c:pt idx="0">
                  <c:v>0.59907834101382484</c:v>
                </c:pt>
                <c:pt idx="1">
                  <c:v>0.4009216589861751</c:v>
                </c:pt>
              </c:numCache>
            </c:numRef>
          </c:val>
          <c:extLst>
            <c:ext xmlns:c16="http://schemas.microsoft.com/office/drawing/2014/chart" uri="{C3380CC4-5D6E-409C-BE32-E72D297353CC}">
              <c16:uniqueId val="{00000000-FBEA-4354-86AC-4C4729C35841}"/>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 Produce Supply Chain Performance Dashboard (Excel).xlsx]Pivot!PivotTable6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Stores Ordered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Pivot!$B$64</c:f>
              <c:strCache>
                <c:ptCount val="1"/>
                <c:pt idx="0">
                  <c:v>Total</c:v>
                </c:pt>
              </c:strCache>
            </c:strRef>
          </c:tx>
          <c:spPr>
            <a:solidFill>
              <a:schemeClr val="accent1"/>
            </a:solidFill>
            <a:ln>
              <a:noFill/>
            </a:ln>
            <a:effectLst/>
          </c:spPr>
          <c:invertIfNegative val="0"/>
          <c:cat>
            <c:multiLvlStrRef>
              <c:f>Pivot!$A$65:$A$87</c:f>
              <c:multiLvlStrCache>
                <c:ptCount val="11"/>
                <c:lvl>
                  <c:pt idx="0">
                    <c:v>HH Veg</c:v>
                  </c:pt>
                  <c:pt idx="1">
                    <c:v>Grapes</c:v>
                  </c:pt>
                  <c:pt idx="2">
                    <c:v>Grapes</c:v>
                  </c:pt>
                  <c:pt idx="3">
                    <c:v>Citrus</c:v>
                  </c:pt>
                  <c:pt idx="4">
                    <c:v>Citrus</c:v>
                  </c:pt>
                  <c:pt idx="5">
                    <c:v>Citrus</c:v>
                  </c:pt>
                  <c:pt idx="6">
                    <c:v>HH Veg</c:v>
                  </c:pt>
                  <c:pt idx="7">
                    <c:v>Grapes</c:v>
                  </c:pt>
                  <c:pt idx="8">
                    <c:v>Citrus</c:v>
                  </c:pt>
                  <c:pt idx="9">
                    <c:v>Grapes</c:v>
                  </c:pt>
                  <c:pt idx="10">
                    <c:v>HH Veg</c:v>
                  </c:pt>
                </c:lvl>
                <c:lvl>
                  <c:pt idx="0">
                    <c:v>Cukes</c:v>
                  </c:pt>
                  <c:pt idx="1">
                    <c:v>Duo</c:v>
                  </c:pt>
                  <c:pt idx="2">
                    <c:v>Green Grapes</c:v>
                  </c:pt>
                  <c:pt idx="3">
                    <c:v>Lemons</c:v>
                  </c:pt>
                  <c:pt idx="4">
                    <c:v>Mandarins</c:v>
                  </c:pt>
                  <c:pt idx="5">
                    <c:v>Oranges</c:v>
                  </c:pt>
                  <c:pt idx="6">
                    <c:v>Peppers</c:v>
                  </c:pt>
                  <c:pt idx="7">
                    <c:v>Red Grapes</c:v>
                  </c:pt>
                  <c:pt idx="8">
                    <c:v>Specialty Citrus</c:v>
                  </c:pt>
                  <c:pt idx="9">
                    <c:v>Specialty Grapes</c:v>
                  </c:pt>
                  <c:pt idx="10">
                    <c:v>Tomatoes</c:v>
                  </c:pt>
                </c:lvl>
              </c:multiLvlStrCache>
            </c:multiLvlStrRef>
          </c:cat>
          <c:val>
            <c:numRef>
              <c:f>Pivot!$B$65:$B$87</c:f>
              <c:numCache>
                <c:formatCode>General</c:formatCode>
                <c:ptCount val="11"/>
                <c:pt idx="0">
                  <c:v>76</c:v>
                </c:pt>
                <c:pt idx="1">
                  <c:v>147</c:v>
                </c:pt>
                <c:pt idx="2">
                  <c:v>169</c:v>
                </c:pt>
                <c:pt idx="3">
                  <c:v>152</c:v>
                </c:pt>
                <c:pt idx="4">
                  <c:v>163</c:v>
                </c:pt>
                <c:pt idx="5">
                  <c:v>154</c:v>
                </c:pt>
                <c:pt idx="6">
                  <c:v>156</c:v>
                </c:pt>
                <c:pt idx="7">
                  <c:v>174</c:v>
                </c:pt>
                <c:pt idx="8">
                  <c:v>87</c:v>
                </c:pt>
                <c:pt idx="9">
                  <c:v>156</c:v>
                </c:pt>
                <c:pt idx="10">
                  <c:v>139</c:v>
                </c:pt>
              </c:numCache>
            </c:numRef>
          </c:val>
          <c:extLst>
            <c:ext xmlns:c16="http://schemas.microsoft.com/office/drawing/2014/chart" uri="{C3380CC4-5D6E-409C-BE32-E72D297353CC}">
              <c16:uniqueId val="{00000000-081E-4B45-B6DE-E0B2E6124791}"/>
            </c:ext>
          </c:extLst>
        </c:ser>
        <c:dLbls>
          <c:showLegendKey val="0"/>
          <c:showVal val="0"/>
          <c:showCatName val="0"/>
          <c:showSerName val="0"/>
          <c:showPercent val="0"/>
          <c:showBubbleSize val="0"/>
        </c:dLbls>
        <c:gapWidth val="219"/>
        <c:overlap val="-27"/>
        <c:axId val="613119696"/>
        <c:axId val="613121616"/>
      </c:barChart>
      <c:catAx>
        <c:axId val="613119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613121616"/>
        <c:crosses val="autoZero"/>
        <c:auto val="1"/>
        <c:lblAlgn val="ctr"/>
        <c:lblOffset val="100"/>
        <c:noMultiLvlLbl val="0"/>
      </c:catAx>
      <c:valAx>
        <c:axId val="613121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613119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 Produce Supply Chain Performance Dashboard (Excel).xlsx]Pivot!PivotTable1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Fill</a:t>
            </a:r>
            <a:r>
              <a:rPr lang="en-US" baseline="0"/>
              <a:t> rate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t"/>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Pivot!$A$2:$A$46</c:f>
              <c:multiLvlStrCache>
                <c:ptCount val="20"/>
                <c:lvl>
                  <c:pt idx="0">
                    <c:v>2024</c:v>
                  </c:pt>
                  <c:pt idx="1">
                    <c:v>2024</c:v>
                  </c:pt>
                  <c:pt idx="2">
                    <c:v>2024</c:v>
                  </c:pt>
                  <c:pt idx="3">
                    <c:v>2024</c:v>
                  </c:pt>
                  <c:pt idx="4">
                    <c:v>2024</c:v>
                  </c:pt>
                  <c:pt idx="5">
                    <c:v>2024</c:v>
                  </c:pt>
                  <c:pt idx="6">
                    <c:v>2024</c:v>
                  </c:pt>
                  <c:pt idx="7">
                    <c:v>2024</c:v>
                  </c:pt>
                  <c:pt idx="8">
                    <c:v>2024</c:v>
                  </c:pt>
                  <c:pt idx="9">
                    <c:v>2024</c:v>
                  </c:pt>
                  <c:pt idx="10">
                    <c:v>2025</c:v>
                  </c:pt>
                  <c:pt idx="11">
                    <c:v>2025</c:v>
                  </c:pt>
                  <c:pt idx="12">
                    <c:v>2025</c:v>
                  </c:pt>
                  <c:pt idx="13">
                    <c:v>2025</c:v>
                  </c:pt>
                  <c:pt idx="14">
                    <c:v>2025</c:v>
                  </c:pt>
                  <c:pt idx="15">
                    <c:v>2025</c:v>
                  </c:pt>
                  <c:pt idx="16">
                    <c:v>2025</c:v>
                  </c:pt>
                  <c:pt idx="17">
                    <c:v>2025</c:v>
                  </c:pt>
                  <c:pt idx="18">
                    <c:v>2025</c:v>
                  </c:pt>
                  <c:pt idx="19">
                    <c:v>2025</c:v>
                  </c:pt>
                </c:lvl>
                <c:lvl>
                  <c:pt idx="0">
                    <c:v>50</c:v>
                  </c:pt>
                  <c:pt idx="1">
                    <c:v>49</c:v>
                  </c:pt>
                  <c:pt idx="2">
                    <c:v>48</c:v>
                  </c:pt>
                  <c:pt idx="3">
                    <c:v>47</c:v>
                  </c:pt>
                  <c:pt idx="4">
                    <c:v>46</c:v>
                  </c:pt>
                  <c:pt idx="5">
                    <c:v>43</c:v>
                  </c:pt>
                  <c:pt idx="6">
                    <c:v>42</c:v>
                  </c:pt>
                  <c:pt idx="7">
                    <c:v>41</c:v>
                  </c:pt>
                  <c:pt idx="8">
                    <c:v>40</c:v>
                  </c:pt>
                  <c:pt idx="9">
                    <c:v>39</c:v>
                  </c:pt>
                  <c:pt idx="10">
                    <c:v>10</c:v>
                  </c:pt>
                  <c:pt idx="11">
                    <c:v>9</c:v>
                  </c:pt>
                  <c:pt idx="12">
                    <c:v>8</c:v>
                  </c:pt>
                  <c:pt idx="13">
                    <c:v>7</c:v>
                  </c:pt>
                  <c:pt idx="14">
                    <c:v>6</c:v>
                  </c:pt>
                  <c:pt idx="15">
                    <c:v>5</c:v>
                  </c:pt>
                  <c:pt idx="16">
                    <c:v>4</c:v>
                  </c:pt>
                  <c:pt idx="17">
                    <c:v>3</c:v>
                  </c:pt>
                  <c:pt idx="18">
                    <c:v>2</c:v>
                  </c:pt>
                  <c:pt idx="19">
                    <c:v>1</c:v>
                  </c:pt>
                </c:lvl>
              </c:multiLvlStrCache>
            </c:multiLvlStrRef>
          </c:cat>
          <c:val>
            <c:numRef>
              <c:f>Pivot!$B$2:$B$46</c:f>
              <c:numCache>
                <c:formatCode>0.00%</c:formatCode>
                <c:ptCount val="20"/>
                <c:pt idx="0">
                  <c:v>0.86586231369765787</c:v>
                </c:pt>
                <c:pt idx="1">
                  <c:v>0.90134847409510288</c:v>
                </c:pt>
                <c:pt idx="2">
                  <c:v>1.0149041873669269</c:v>
                </c:pt>
                <c:pt idx="3">
                  <c:v>1.0361958836053939</c:v>
                </c:pt>
                <c:pt idx="4">
                  <c:v>1.1284599006387508</c:v>
                </c:pt>
                <c:pt idx="5">
                  <c:v>0.96522356281050392</c:v>
                </c:pt>
                <c:pt idx="6">
                  <c:v>0.85876508161816889</c:v>
                </c:pt>
                <c:pt idx="7">
                  <c:v>1.0929737402413058</c:v>
                </c:pt>
                <c:pt idx="8">
                  <c:v>0.93683463449254789</c:v>
                </c:pt>
                <c:pt idx="9">
                  <c:v>1.0432931156848828</c:v>
                </c:pt>
                <c:pt idx="10">
                  <c:v>0.8942512420156139</c:v>
                </c:pt>
                <c:pt idx="11">
                  <c:v>1.071682044002839</c:v>
                </c:pt>
                <c:pt idx="12">
                  <c:v>1.0078069552874378</c:v>
                </c:pt>
                <c:pt idx="13">
                  <c:v>0.97941802696948188</c:v>
                </c:pt>
                <c:pt idx="14">
                  <c:v>1.0503903477643719</c:v>
                </c:pt>
                <c:pt idx="15">
                  <c:v>0.91554293825408095</c:v>
                </c:pt>
                <c:pt idx="16">
                  <c:v>1.071682044002839</c:v>
                </c:pt>
                <c:pt idx="17">
                  <c:v>0.90844570617459186</c:v>
                </c:pt>
                <c:pt idx="18">
                  <c:v>1.0645848119233499</c:v>
                </c:pt>
                <c:pt idx="19">
                  <c:v>1.1923349893541519</c:v>
                </c:pt>
              </c:numCache>
            </c:numRef>
          </c:val>
          <c:smooth val="0"/>
          <c:extLst>
            <c:ext xmlns:c16="http://schemas.microsoft.com/office/drawing/2014/chart" uri="{C3380CC4-5D6E-409C-BE32-E72D297353CC}">
              <c16:uniqueId val="{00000000-1257-4C58-8883-9A294F2BBCB1}"/>
            </c:ext>
          </c:extLst>
        </c:ser>
        <c:dLbls>
          <c:dLblPos val="t"/>
          <c:showLegendKey val="0"/>
          <c:showVal val="1"/>
          <c:showCatName val="0"/>
          <c:showSerName val="0"/>
          <c:showPercent val="0"/>
          <c:showBubbleSize val="0"/>
        </c:dLbls>
        <c:marker val="1"/>
        <c:smooth val="0"/>
        <c:axId val="1194289295"/>
        <c:axId val="1194290255"/>
      </c:lineChart>
      <c:catAx>
        <c:axId val="1194289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194290255"/>
        <c:crosses val="autoZero"/>
        <c:auto val="1"/>
        <c:lblAlgn val="ctr"/>
        <c:lblOffset val="100"/>
        <c:noMultiLvlLbl val="0"/>
      </c:catAx>
      <c:valAx>
        <c:axId val="11942902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194289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 Produce Supply Chain Performance Dashboard (Excel).xlsx]Pivot!PivotTable2</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Fill Rate and Unsaleable by categorie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Pivot!$G$26</c:f>
              <c:strCache>
                <c:ptCount val="1"/>
                <c:pt idx="0">
                  <c:v>Average of Avg Fill Rate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Pivot!$F$27:$F$38</c:f>
              <c:strCache>
                <c:ptCount val="11"/>
                <c:pt idx="0">
                  <c:v>Cukes</c:v>
                </c:pt>
                <c:pt idx="1">
                  <c:v>Duo</c:v>
                </c:pt>
                <c:pt idx="2">
                  <c:v>Green Grapes</c:v>
                </c:pt>
                <c:pt idx="3">
                  <c:v>Lemons</c:v>
                </c:pt>
                <c:pt idx="4">
                  <c:v>Mandarins</c:v>
                </c:pt>
                <c:pt idx="5">
                  <c:v>Oranges</c:v>
                </c:pt>
                <c:pt idx="6">
                  <c:v>Peppers</c:v>
                </c:pt>
                <c:pt idx="7">
                  <c:v>Red Grapes</c:v>
                </c:pt>
                <c:pt idx="8">
                  <c:v>Specialty Citrus</c:v>
                </c:pt>
                <c:pt idx="9">
                  <c:v>Specialty Grapes</c:v>
                </c:pt>
                <c:pt idx="10">
                  <c:v>Tomatoes</c:v>
                </c:pt>
              </c:strCache>
            </c:strRef>
          </c:cat>
          <c:val>
            <c:numRef>
              <c:f>Pivot!$G$27:$G$38</c:f>
              <c:numCache>
                <c:formatCode>0%</c:formatCode>
                <c:ptCount val="11"/>
                <c:pt idx="0">
                  <c:v>0.99569892473118282</c:v>
                </c:pt>
                <c:pt idx="1">
                  <c:v>0.92384353741496605</c:v>
                </c:pt>
                <c:pt idx="2">
                  <c:v>0.98726005253586591</c:v>
                </c:pt>
                <c:pt idx="3">
                  <c:v>0.96149724192277386</c:v>
                </c:pt>
                <c:pt idx="4">
                  <c:v>0.98690721649484536</c:v>
                </c:pt>
                <c:pt idx="5">
                  <c:v>0.96758194186765611</c:v>
                </c:pt>
                <c:pt idx="6">
                  <c:v>0.95415747549019603</c:v>
                </c:pt>
                <c:pt idx="7">
                  <c:v>1.0064905962384953</c:v>
                </c:pt>
                <c:pt idx="8">
                  <c:v>0.998</c:v>
                </c:pt>
                <c:pt idx="9">
                  <c:v>0.99447789447972634</c:v>
                </c:pt>
                <c:pt idx="10">
                  <c:v>0.94547872340425532</c:v>
                </c:pt>
              </c:numCache>
            </c:numRef>
          </c:val>
          <c:extLst>
            <c:ext xmlns:c16="http://schemas.microsoft.com/office/drawing/2014/chart" uri="{C3380CC4-5D6E-409C-BE32-E72D297353CC}">
              <c16:uniqueId val="{00000000-7A9E-4725-A3C9-C5474F2747C1}"/>
            </c:ext>
          </c:extLst>
        </c:ser>
        <c:dLbls>
          <c:showLegendKey val="0"/>
          <c:showVal val="1"/>
          <c:showCatName val="0"/>
          <c:showSerName val="0"/>
          <c:showPercent val="0"/>
          <c:showBubbleSize val="0"/>
        </c:dLbls>
        <c:gapWidth val="219"/>
        <c:overlap val="-27"/>
        <c:axId val="1918672575"/>
        <c:axId val="1918673535"/>
      </c:barChart>
      <c:lineChart>
        <c:grouping val="standard"/>
        <c:varyColors val="0"/>
        <c:ser>
          <c:idx val="1"/>
          <c:order val="1"/>
          <c:tx>
            <c:strRef>
              <c:f>Pivot!$H$26</c:f>
              <c:strCache>
                <c:ptCount val="1"/>
                <c:pt idx="0">
                  <c:v>Sum of Avg Unsaleable %</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Pivot!$F$27:$F$38</c:f>
              <c:strCache>
                <c:ptCount val="11"/>
                <c:pt idx="0">
                  <c:v>Cukes</c:v>
                </c:pt>
                <c:pt idx="1">
                  <c:v>Duo</c:v>
                </c:pt>
                <c:pt idx="2">
                  <c:v>Green Grapes</c:v>
                </c:pt>
                <c:pt idx="3">
                  <c:v>Lemons</c:v>
                </c:pt>
                <c:pt idx="4">
                  <c:v>Mandarins</c:v>
                </c:pt>
                <c:pt idx="5">
                  <c:v>Oranges</c:v>
                </c:pt>
                <c:pt idx="6">
                  <c:v>Peppers</c:v>
                </c:pt>
                <c:pt idx="7">
                  <c:v>Red Grapes</c:v>
                </c:pt>
                <c:pt idx="8">
                  <c:v>Specialty Citrus</c:v>
                </c:pt>
                <c:pt idx="9">
                  <c:v>Specialty Grapes</c:v>
                </c:pt>
                <c:pt idx="10">
                  <c:v>Tomatoes</c:v>
                </c:pt>
              </c:strCache>
            </c:strRef>
          </c:cat>
          <c:val>
            <c:numRef>
              <c:f>Pivot!$H$27:$H$38</c:f>
              <c:numCache>
                <c:formatCode>0%</c:formatCode>
                <c:ptCount val="11"/>
                <c:pt idx="0">
                  <c:v>5.7956989247311831E-2</c:v>
                </c:pt>
                <c:pt idx="1">
                  <c:v>7.0000000000000007E-2</c:v>
                </c:pt>
                <c:pt idx="2">
                  <c:v>6.6712467165083861E-2</c:v>
                </c:pt>
                <c:pt idx="3">
                  <c:v>0.14095744680851063</c:v>
                </c:pt>
                <c:pt idx="4">
                  <c:v>0.14132591609676431</c:v>
                </c:pt>
                <c:pt idx="5">
                  <c:v>0.16447948876520307</c:v>
                </c:pt>
                <c:pt idx="6">
                  <c:v>0.20001838235294117</c:v>
                </c:pt>
                <c:pt idx="7">
                  <c:v>9.3939575830332134E-2</c:v>
                </c:pt>
                <c:pt idx="8">
                  <c:v>5.8000000000000003E-2</c:v>
                </c:pt>
                <c:pt idx="9">
                  <c:v>0.13500977039570103</c:v>
                </c:pt>
                <c:pt idx="10">
                  <c:v>0.17097826086956522</c:v>
                </c:pt>
              </c:numCache>
            </c:numRef>
          </c:val>
          <c:smooth val="0"/>
          <c:extLst>
            <c:ext xmlns:c16="http://schemas.microsoft.com/office/drawing/2014/chart" uri="{C3380CC4-5D6E-409C-BE32-E72D297353CC}">
              <c16:uniqueId val="{00000001-7A9E-4725-A3C9-C5474F2747C1}"/>
            </c:ext>
          </c:extLst>
        </c:ser>
        <c:dLbls>
          <c:showLegendKey val="0"/>
          <c:showVal val="1"/>
          <c:showCatName val="0"/>
          <c:showSerName val="0"/>
          <c:showPercent val="0"/>
          <c:showBubbleSize val="0"/>
        </c:dLbls>
        <c:marker val="1"/>
        <c:smooth val="0"/>
        <c:axId val="1918672575"/>
        <c:axId val="1918673535"/>
      </c:lineChart>
      <c:catAx>
        <c:axId val="1918672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918673535"/>
        <c:crosses val="autoZero"/>
        <c:auto val="1"/>
        <c:lblAlgn val="ctr"/>
        <c:lblOffset val="100"/>
        <c:noMultiLvlLbl val="0"/>
      </c:catAx>
      <c:valAx>
        <c:axId val="19186735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918672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 Produce Supply Chain Performance Dashboard (Excel).xlsx]Pivot!PivotTable5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Ordered Qty by Mode</a:t>
            </a:r>
            <a:endParaRPr lang="en-US"/>
          </a:p>
        </c:rich>
      </c:tx>
      <c:layout>
        <c:manualLayout>
          <c:xMode val="edge"/>
          <c:yMode val="edge"/>
          <c:x val="0.27027777777777778"/>
          <c:y val="0.1424978127734033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L"/>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L"/>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L"/>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Pivot!$B$48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F73-4D6A-B9F2-C920BAF0311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F73-4D6A-B9F2-C920BAF0311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L"/>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Pivot!$A$49:$A$51</c:f>
              <c:strCache>
                <c:ptCount val="2"/>
                <c:pt idx="0">
                  <c:v>CV</c:v>
                </c:pt>
                <c:pt idx="1">
                  <c:v>ORG</c:v>
                </c:pt>
              </c:strCache>
            </c:strRef>
          </c:cat>
          <c:val>
            <c:numRef>
              <c:f>Pivot!$B$49:$B$51</c:f>
              <c:numCache>
                <c:formatCode>0.00%</c:formatCode>
                <c:ptCount val="2"/>
                <c:pt idx="0">
                  <c:v>0.59907834101382484</c:v>
                </c:pt>
                <c:pt idx="1">
                  <c:v>0.4009216589861751</c:v>
                </c:pt>
              </c:numCache>
            </c:numRef>
          </c:val>
          <c:extLst>
            <c:ext xmlns:c16="http://schemas.microsoft.com/office/drawing/2014/chart" uri="{C3380CC4-5D6E-409C-BE32-E72D297353CC}">
              <c16:uniqueId val="{00000004-EF73-4D6A-B9F2-C920BAF0311F}"/>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 Produce Supply Chain Performance Dashboard (Excel).xlsx]Pivot!PivotTable6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Stores Ordered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Pivot!$B$64</c:f>
              <c:strCache>
                <c:ptCount val="1"/>
                <c:pt idx="0">
                  <c:v>Total</c:v>
                </c:pt>
              </c:strCache>
            </c:strRef>
          </c:tx>
          <c:spPr>
            <a:solidFill>
              <a:schemeClr val="accent1"/>
            </a:solidFill>
            <a:ln>
              <a:noFill/>
            </a:ln>
            <a:effectLst/>
          </c:spPr>
          <c:invertIfNegative val="0"/>
          <c:cat>
            <c:multiLvlStrRef>
              <c:f>Pivot!$A$65:$A$87</c:f>
              <c:multiLvlStrCache>
                <c:ptCount val="11"/>
                <c:lvl>
                  <c:pt idx="0">
                    <c:v>HH Veg</c:v>
                  </c:pt>
                  <c:pt idx="1">
                    <c:v>Grapes</c:v>
                  </c:pt>
                  <c:pt idx="2">
                    <c:v>Grapes</c:v>
                  </c:pt>
                  <c:pt idx="3">
                    <c:v>Citrus</c:v>
                  </c:pt>
                  <c:pt idx="4">
                    <c:v>Citrus</c:v>
                  </c:pt>
                  <c:pt idx="5">
                    <c:v>Citrus</c:v>
                  </c:pt>
                  <c:pt idx="6">
                    <c:v>HH Veg</c:v>
                  </c:pt>
                  <c:pt idx="7">
                    <c:v>Grapes</c:v>
                  </c:pt>
                  <c:pt idx="8">
                    <c:v>Citrus</c:v>
                  </c:pt>
                  <c:pt idx="9">
                    <c:v>Grapes</c:v>
                  </c:pt>
                  <c:pt idx="10">
                    <c:v>HH Veg</c:v>
                  </c:pt>
                </c:lvl>
                <c:lvl>
                  <c:pt idx="0">
                    <c:v>Cukes</c:v>
                  </c:pt>
                  <c:pt idx="1">
                    <c:v>Duo</c:v>
                  </c:pt>
                  <c:pt idx="2">
                    <c:v>Green Grapes</c:v>
                  </c:pt>
                  <c:pt idx="3">
                    <c:v>Lemons</c:v>
                  </c:pt>
                  <c:pt idx="4">
                    <c:v>Mandarins</c:v>
                  </c:pt>
                  <c:pt idx="5">
                    <c:v>Oranges</c:v>
                  </c:pt>
                  <c:pt idx="6">
                    <c:v>Peppers</c:v>
                  </c:pt>
                  <c:pt idx="7">
                    <c:v>Red Grapes</c:v>
                  </c:pt>
                  <c:pt idx="8">
                    <c:v>Specialty Citrus</c:v>
                  </c:pt>
                  <c:pt idx="9">
                    <c:v>Specialty Grapes</c:v>
                  </c:pt>
                  <c:pt idx="10">
                    <c:v>Tomatoes</c:v>
                  </c:pt>
                </c:lvl>
              </c:multiLvlStrCache>
            </c:multiLvlStrRef>
          </c:cat>
          <c:val>
            <c:numRef>
              <c:f>Pivot!$B$65:$B$87</c:f>
              <c:numCache>
                <c:formatCode>General</c:formatCode>
                <c:ptCount val="11"/>
                <c:pt idx="0">
                  <c:v>76</c:v>
                </c:pt>
                <c:pt idx="1">
                  <c:v>147</c:v>
                </c:pt>
                <c:pt idx="2">
                  <c:v>169</c:v>
                </c:pt>
                <c:pt idx="3">
                  <c:v>152</c:v>
                </c:pt>
                <c:pt idx="4">
                  <c:v>163</c:v>
                </c:pt>
                <c:pt idx="5">
                  <c:v>154</c:v>
                </c:pt>
                <c:pt idx="6">
                  <c:v>156</c:v>
                </c:pt>
                <c:pt idx="7">
                  <c:v>174</c:v>
                </c:pt>
                <c:pt idx="8">
                  <c:v>87</c:v>
                </c:pt>
                <c:pt idx="9">
                  <c:v>156</c:v>
                </c:pt>
                <c:pt idx="10">
                  <c:v>139</c:v>
                </c:pt>
              </c:numCache>
            </c:numRef>
          </c:val>
          <c:extLst>
            <c:ext xmlns:c16="http://schemas.microsoft.com/office/drawing/2014/chart" uri="{C3380CC4-5D6E-409C-BE32-E72D297353CC}">
              <c16:uniqueId val="{00000000-3CD3-4156-BED8-EB4521FB162D}"/>
            </c:ext>
          </c:extLst>
        </c:ser>
        <c:dLbls>
          <c:showLegendKey val="0"/>
          <c:showVal val="0"/>
          <c:showCatName val="0"/>
          <c:showSerName val="0"/>
          <c:showPercent val="0"/>
          <c:showBubbleSize val="0"/>
        </c:dLbls>
        <c:gapWidth val="219"/>
        <c:overlap val="-27"/>
        <c:axId val="613119696"/>
        <c:axId val="613121616"/>
      </c:barChart>
      <c:catAx>
        <c:axId val="613119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613121616"/>
        <c:crosses val="autoZero"/>
        <c:auto val="1"/>
        <c:lblAlgn val="ctr"/>
        <c:lblOffset val="100"/>
        <c:noMultiLvlLbl val="0"/>
      </c:catAx>
      <c:valAx>
        <c:axId val="613121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613119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133349</xdr:colOff>
      <xdr:row>0</xdr:row>
      <xdr:rowOff>14286</xdr:rowOff>
    </xdr:from>
    <xdr:to>
      <xdr:col>26</xdr:col>
      <xdr:colOff>1057275</xdr:colOff>
      <xdr:row>16</xdr:row>
      <xdr:rowOff>190499</xdr:rowOff>
    </xdr:to>
    <xdr:graphicFrame macro="">
      <xdr:nvGraphicFramePr>
        <xdr:cNvPr id="2" name="Chart 1">
          <a:extLst>
            <a:ext uri="{FF2B5EF4-FFF2-40B4-BE49-F238E27FC236}">
              <a16:creationId xmlns:a16="http://schemas.microsoft.com/office/drawing/2014/main" id="{16E58BB2-878C-4BBF-7774-E91082B72B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133349</xdr:colOff>
      <xdr:row>21</xdr:row>
      <xdr:rowOff>71436</xdr:rowOff>
    </xdr:from>
    <xdr:to>
      <xdr:col>31</xdr:col>
      <xdr:colOff>57150</xdr:colOff>
      <xdr:row>42</xdr:row>
      <xdr:rowOff>95250</xdr:rowOff>
    </xdr:to>
    <xdr:graphicFrame macro="">
      <xdr:nvGraphicFramePr>
        <xdr:cNvPr id="8" name="Chart 7">
          <a:extLst>
            <a:ext uri="{FF2B5EF4-FFF2-40B4-BE49-F238E27FC236}">
              <a16:creationId xmlns:a16="http://schemas.microsoft.com/office/drawing/2014/main" id="{E25504F0-EA71-E732-1D2B-7D560FFB51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114300</xdr:colOff>
      <xdr:row>46</xdr:row>
      <xdr:rowOff>90487</xdr:rowOff>
    </xdr:from>
    <xdr:to>
      <xdr:col>6</xdr:col>
      <xdr:colOff>114300</xdr:colOff>
      <xdr:row>60</xdr:row>
      <xdr:rowOff>166687</xdr:rowOff>
    </xdr:to>
    <xdr:graphicFrame macro="">
      <xdr:nvGraphicFramePr>
        <xdr:cNvPr id="9" name="Chart 8">
          <a:extLst>
            <a:ext uri="{FF2B5EF4-FFF2-40B4-BE49-F238E27FC236}">
              <a16:creationId xmlns:a16="http://schemas.microsoft.com/office/drawing/2014/main" id="{A7DEED20-75DA-051B-4518-B1DA96C495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152399</xdr:colOff>
      <xdr:row>67</xdr:row>
      <xdr:rowOff>4762</xdr:rowOff>
    </xdr:from>
    <xdr:to>
      <xdr:col>13</xdr:col>
      <xdr:colOff>28574</xdr:colOff>
      <xdr:row>81</xdr:row>
      <xdr:rowOff>80962</xdr:rowOff>
    </xdr:to>
    <xdr:graphicFrame macro="">
      <xdr:nvGraphicFramePr>
        <xdr:cNvPr id="10" name="Chart 9">
          <a:extLst>
            <a:ext uri="{FF2B5EF4-FFF2-40B4-BE49-F238E27FC236}">
              <a16:creationId xmlns:a16="http://schemas.microsoft.com/office/drawing/2014/main" id="{284BC3E2-4A84-D95E-BC46-AA9581486D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609599</xdr:colOff>
      <xdr:row>3</xdr:row>
      <xdr:rowOff>66675</xdr:rowOff>
    </xdr:from>
    <xdr:to>
      <xdr:col>24</xdr:col>
      <xdr:colOff>600074</xdr:colOff>
      <xdr:row>23</xdr:row>
      <xdr:rowOff>109539</xdr:rowOff>
    </xdr:to>
    <xdr:graphicFrame macro="">
      <xdr:nvGraphicFramePr>
        <xdr:cNvPr id="2" name="Chart 1">
          <a:extLst>
            <a:ext uri="{FF2B5EF4-FFF2-40B4-BE49-F238E27FC236}">
              <a16:creationId xmlns:a16="http://schemas.microsoft.com/office/drawing/2014/main" id="{7E2C14E9-A498-463B-B69C-E99744F916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xdr:colOff>
      <xdr:row>23</xdr:row>
      <xdr:rowOff>114300</xdr:rowOff>
    </xdr:from>
    <xdr:to>
      <xdr:col>16</xdr:col>
      <xdr:colOff>495301</xdr:colOff>
      <xdr:row>44</xdr:row>
      <xdr:rowOff>138114</xdr:rowOff>
    </xdr:to>
    <xdr:graphicFrame macro="">
      <xdr:nvGraphicFramePr>
        <xdr:cNvPr id="3" name="Chart 2">
          <a:extLst>
            <a:ext uri="{FF2B5EF4-FFF2-40B4-BE49-F238E27FC236}">
              <a16:creationId xmlns:a16="http://schemas.microsoft.com/office/drawing/2014/main" id="{D2F72876-78EF-4E9B-8210-5E9DE7C4FF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514350</xdr:colOff>
      <xdr:row>23</xdr:row>
      <xdr:rowOff>133349</xdr:rowOff>
    </xdr:from>
    <xdr:to>
      <xdr:col>25</xdr:col>
      <xdr:colOff>0</xdr:colOff>
      <xdr:row>44</xdr:row>
      <xdr:rowOff>142874</xdr:rowOff>
    </xdr:to>
    <xdr:graphicFrame macro="">
      <xdr:nvGraphicFramePr>
        <xdr:cNvPr id="4" name="Chart 3">
          <a:extLst>
            <a:ext uri="{FF2B5EF4-FFF2-40B4-BE49-F238E27FC236}">
              <a16:creationId xmlns:a16="http://schemas.microsoft.com/office/drawing/2014/main" id="{F993D539-08DB-4110-A7FD-50C2CC44FA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600075</xdr:colOff>
      <xdr:row>44</xdr:row>
      <xdr:rowOff>104775</xdr:rowOff>
    </xdr:from>
    <xdr:to>
      <xdr:col>24</xdr:col>
      <xdr:colOff>600075</xdr:colOff>
      <xdr:row>61</xdr:row>
      <xdr:rowOff>84667</xdr:rowOff>
    </xdr:to>
    <xdr:graphicFrame macro="">
      <xdr:nvGraphicFramePr>
        <xdr:cNvPr id="5" name="Chart 4">
          <a:extLst>
            <a:ext uri="{FF2B5EF4-FFF2-40B4-BE49-F238E27FC236}">
              <a16:creationId xmlns:a16="http://schemas.microsoft.com/office/drawing/2014/main" id="{605165E1-28B5-4B31-A324-EEB679C772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19050</xdr:colOff>
      <xdr:row>34</xdr:row>
      <xdr:rowOff>142876</xdr:rowOff>
    </xdr:from>
    <xdr:to>
      <xdr:col>3</xdr:col>
      <xdr:colOff>19050</xdr:colOff>
      <xdr:row>40</xdr:row>
      <xdr:rowOff>0</xdr:rowOff>
    </xdr:to>
    <mc:AlternateContent xmlns:mc="http://schemas.openxmlformats.org/markup-compatibility/2006">
      <mc:Choice xmlns:a14="http://schemas.microsoft.com/office/drawing/2010/main" Requires="a14">
        <xdr:graphicFrame macro="">
          <xdr:nvGraphicFramePr>
            <xdr:cNvPr id="30" name="Mode">
              <a:extLst>
                <a:ext uri="{FF2B5EF4-FFF2-40B4-BE49-F238E27FC236}">
                  <a16:creationId xmlns:a16="http://schemas.microsoft.com/office/drawing/2014/main" id="{609C89C5-7406-E71E-D26B-58B7AEEC1868}"/>
                </a:ext>
              </a:extLst>
            </xdr:cNvPr>
            <xdr:cNvGraphicFramePr/>
          </xdr:nvGraphicFramePr>
          <xdr:xfrm>
            <a:off x="0" y="0"/>
            <a:ext cx="0" cy="0"/>
          </xdr:xfrm>
          <a:graphic>
            <a:graphicData uri="http://schemas.microsoft.com/office/drawing/2010/slicer">
              <sle:slicer xmlns:sle="http://schemas.microsoft.com/office/drawing/2010/slicer" name="Mode"/>
            </a:graphicData>
          </a:graphic>
        </xdr:graphicFrame>
      </mc:Choice>
      <mc:Fallback>
        <xdr:sp macro="" textlink="">
          <xdr:nvSpPr>
            <xdr:cNvPr id="0" name=""/>
            <xdr:cNvSpPr>
              <a:spLocks noTextEdit="1"/>
            </xdr:cNvSpPr>
          </xdr:nvSpPr>
          <xdr:spPr>
            <a:xfrm>
              <a:off x="19050" y="6619876"/>
              <a:ext cx="1841500" cy="1000124"/>
            </a:xfrm>
            <a:prstGeom prst="rect">
              <a:avLst/>
            </a:prstGeom>
            <a:solidFill>
              <a:prstClr val="white"/>
            </a:solidFill>
            <a:ln w="1">
              <a:solidFill>
                <a:prstClr val="green"/>
              </a:solidFill>
            </a:ln>
          </xdr:spPr>
          <xdr:txBody>
            <a:bodyPr vertOverflow="clip" horzOverflow="clip"/>
            <a:lstStyle/>
            <a:p>
              <a:r>
                <a:rPr lang="en-N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40</xdr:row>
      <xdr:rowOff>9525</xdr:rowOff>
    </xdr:from>
    <xdr:to>
      <xdr:col>3</xdr:col>
      <xdr:colOff>9525</xdr:colOff>
      <xdr:row>45</xdr:row>
      <xdr:rowOff>10583</xdr:rowOff>
    </xdr:to>
    <mc:AlternateContent xmlns:mc="http://schemas.openxmlformats.org/markup-compatibility/2006">
      <mc:Choice xmlns:a14="http://schemas.microsoft.com/office/drawing/2010/main" Requires="a14">
        <xdr:graphicFrame macro="">
          <xdr:nvGraphicFramePr>
            <xdr:cNvPr id="31" name="Shipper">
              <a:extLst>
                <a:ext uri="{FF2B5EF4-FFF2-40B4-BE49-F238E27FC236}">
                  <a16:creationId xmlns:a16="http://schemas.microsoft.com/office/drawing/2014/main" id="{AFBA48C8-5064-AD9C-3A08-107045F22270}"/>
                </a:ext>
              </a:extLst>
            </xdr:cNvPr>
            <xdr:cNvGraphicFramePr/>
          </xdr:nvGraphicFramePr>
          <xdr:xfrm>
            <a:off x="0" y="0"/>
            <a:ext cx="0" cy="0"/>
          </xdr:xfrm>
          <a:graphic>
            <a:graphicData uri="http://schemas.microsoft.com/office/drawing/2010/slicer">
              <sle:slicer xmlns:sle="http://schemas.microsoft.com/office/drawing/2010/slicer" name="Shipper"/>
            </a:graphicData>
          </a:graphic>
        </xdr:graphicFrame>
      </mc:Choice>
      <mc:Fallback>
        <xdr:sp macro="" textlink="">
          <xdr:nvSpPr>
            <xdr:cNvPr id="0" name=""/>
            <xdr:cNvSpPr>
              <a:spLocks noTextEdit="1"/>
            </xdr:cNvSpPr>
          </xdr:nvSpPr>
          <xdr:spPr>
            <a:xfrm>
              <a:off x="9525" y="7629525"/>
              <a:ext cx="1841500" cy="953558"/>
            </a:xfrm>
            <a:prstGeom prst="rect">
              <a:avLst/>
            </a:prstGeom>
            <a:solidFill>
              <a:prstClr val="white"/>
            </a:solidFill>
            <a:ln w="1">
              <a:solidFill>
                <a:prstClr val="green"/>
              </a:solidFill>
            </a:ln>
          </xdr:spPr>
          <xdr:txBody>
            <a:bodyPr vertOverflow="clip" horzOverflow="clip"/>
            <a:lstStyle/>
            <a:p>
              <a:r>
                <a:rPr lang="en-N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44</xdr:row>
      <xdr:rowOff>188384</xdr:rowOff>
    </xdr:from>
    <xdr:to>
      <xdr:col>2</xdr:col>
      <xdr:colOff>594783</xdr:colOff>
      <xdr:row>61</xdr:row>
      <xdr:rowOff>74084</xdr:rowOff>
    </xdr:to>
    <mc:AlternateContent xmlns:mc="http://schemas.openxmlformats.org/markup-compatibility/2006">
      <mc:Choice xmlns:a14="http://schemas.microsoft.com/office/drawing/2010/main" Requires="a14">
        <xdr:graphicFrame macro="">
          <xdr:nvGraphicFramePr>
            <xdr:cNvPr id="32" name="Grower">
              <a:extLst>
                <a:ext uri="{FF2B5EF4-FFF2-40B4-BE49-F238E27FC236}">
                  <a16:creationId xmlns:a16="http://schemas.microsoft.com/office/drawing/2014/main" id="{2995C361-914E-A30D-AECD-31BAAEBFAAC8}"/>
                </a:ext>
              </a:extLst>
            </xdr:cNvPr>
            <xdr:cNvGraphicFramePr/>
          </xdr:nvGraphicFramePr>
          <xdr:xfrm>
            <a:off x="0" y="0"/>
            <a:ext cx="0" cy="0"/>
          </xdr:xfrm>
          <a:graphic>
            <a:graphicData uri="http://schemas.microsoft.com/office/drawing/2010/slicer">
              <sle:slicer xmlns:sle="http://schemas.microsoft.com/office/drawing/2010/slicer" name="Grower"/>
            </a:graphicData>
          </a:graphic>
        </xdr:graphicFrame>
      </mc:Choice>
      <mc:Fallback>
        <xdr:sp macro="" textlink="">
          <xdr:nvSpPr>
            <xdr:cNvPr id="0" name=""/>
            <xdr:cNvSpPr>
              <a:spLocks noTextEdit="1"/>
            </xdr:cNvSpPr>
          </xdr:nvSpPr>
          <xdr:spPr>
            <a:xfrm>
              <a:off x="0" y="8570384"/>
              <a:ext cx="1822450" cy="3124200"/>
            </a:xfrm>
            <a:prstGeom prst="rect">
              <a:avLst/>
            </a:prstGeom>
            <a:solidFill>
              <a:prstClr val="white"/>
            </a:solidFill>
            <a:ln w="1">
              <a:solidFill>
                <a:prstClr val="green"/>
              </a:solidFill>
            </a:ln>
          </xdr:spPr>
          <xdr:txBody>
            <a:bodyPr vertOverflow="clip" horzOverflow="clip"/>
            <a:lstStyle/>
            <a:p>
              <a:r>
                <a:rPr lang="en-N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9524</xdr:colOff>
      <xdr:row>3</xdr:row>
      <xdr:rowOff>76201</xdr:rowOff>
    </xdr:from>
    <xdr:to>
      <xdr:col>3</xdr:col>
      <xdr:colOff>9525</xdr:colOff>
      <xdr:row>10</xdr:row>
      <xdr:rowOff>84666</xdr:rowOff>
    </xdr:to>
    <mc:AlternateContent xmlns:mc="http://schemas.openxmlformats.org/markup-compatibility/2006">
      <mc:Choice xmlns:a14="http://schemas.microsoft.com/office/drawing/2010/main" Requires="a14">
        <xdr:graphicFrame macro="">
          <xdr:nvGraphicFramePr>
            <xdr:cNvPr id="33" name="Quarter">
              <a:extLst>
                <a:ext uri="{FF2B5EF4-FFF2-40B4-BE49-F238E27FC236}">
                  <a16:creationId xmlns:a16="http://schemas.microsoft.com/office/drawing/2014/main" id="{747927EF-63E6-AC68-7E78-44B7E9B7AEF6}"/>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9524" y="647701"/>
              <a:ext cx="1841501" cy="1341965"/>
            </a:xfrm>
            <a:prstGeom prst="rect">
              <a:avLst/>
            </a:prstGeom>
            <a:solidFill>
              <a:prstClr val="white"/>
            </a:solidFill>
            <a:ln w="1">
              <a:solidFill>
                <a:prstClr val="green"/>
              </a:solidFill>
            </a:ln>
          </xdr:spPr>
          <xdr:txBody>
            <a:bodyPr vertOverflow="clip" horzOverflow="clip"/>
            <a:lstStyle/>
            <a:p>
              <a:r>
                <a:rPr lang="en-N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104776</xdr:rowOff>
    </xdr:from>
    <xdr:to>
      <xdr:col>3</xdr:col>
      <xdr:colOff>38100</xdr:colOff>
      <xdr:row>17</xdr:row>
      <xdr:rowOff>158750</xdr:rowOff>
    </xdr:to>
    <mc:AlternateContent xmlns:mc="http://schemas.openxmlformats.org/markup-compatibility/2006">
      <mc:Choice xmlns:a14="http://schemas.microsoft.com/office/drawing/2010/main" Requires="a14">
        <xdr:graphicFrame macro="">
          <xdr:nvGraphicFramePr>
            <xdr:cNvPr id="28" name="Distribution Center">
              <a:extLst>
                <a:ext uri="{FF2B5EF4-FFF2-40B4-BE49-F238E27FC236}">
                  <a16:creationId xmlns:a16="http://schemas.microsoft.com/office/drawing/2014/main" id="{A2C54402-D666-AA58-6FB8-F9803E0A2D1B}"/>
                </a:ext>
              </a:extLst>
            </xdr:cNvPr>
            <xdr:cNvGraphicFramePr/>
          </xdr:nvGraphicFramePr>
          <xdr:xfrm>
            <a:off x="0" y="0"/>
            <a:ext cx="0" cy="0"/>
          </xdr:xfrm>
          <a:graphic>
            <a:graphicData uri="http://schemas.microsoft.com/office/drawing/2010/slicer">
              <sle:slicer xmlns:sle="http://schemas.microsoft.com/office/drawing/2010/slicer" name="Distribution Center"/>
            </a:graphicData>
          </a:graphic>
        </xdr:graphicFrame>
      </mc:Choice>
      <mc:Fallback>
        <xdr:sp macro="" textlink="">
          <xdr:nvSpPr>
            <xdr:cNvPr id="0" name=""/>
            <xdr:cNvSpPr>
              <a:spLocks noTextEdit="1"/>
            </xdr:cNvSpPr>
          </xdr:nvSpPr>
          <xdr:spPr>
            <a:xfrm>
              <a:off x="0" y="1819276"/>
              <a:ext cx="1879600" cy="1577974"/>
            </a:xfrm>
            <a:prstGeom prst="rect">
              <a:avLst/>
            </a:prstGeom>
            <a:solidFill>
              <a:prstClr val="white"/>
            </a:solidFill>
            <a:ln w="1">
              <a:solidFill>
                <a:prstClr val="green"/>
              </a:solidFill>
            </a:ln>
          </xdr:spPr>
          <xdr:txBody>
            <a:bodyPr vertOverflow="clip" horzOverflow="clip"/>
            <a:lstStyle/>
            <a:p>
              <a:r>
                <a:rPr lang="en-N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9524</xdr:colOff>
      <xdr:row>16</xdr:row>
      <xdr:rowOff>161925</xdr:rowOff>
    </xdr:from>
    <xdr:to>
      <xdr:col>3</xdr:col>
      <xdr:colOff>38099</xdr:colOff>
      <xdr:row>34</xdr:row>
      <xdr:rowOff>142875</xdr:rowOff>
    </xdr:to>
    <mc:AlternateContent xmlns:mc="http://schemas.openxmlformats.org/markup-compatibility/2006">
      <mc:Choice xmlns:a14="http://schemas.microsoft.com/office/drawing/2010/main" Requires="a14">
        <xdr:graphicFrame macro="">
          <xdr:nvGraphicFramePr>
            <xdr:cNvPr id="29" name="Category">
              <a:extLst>
                <a:ext uri="{FF2B5EF4-FFF2-40B4-BE49-F238E27FC236}">
                  <a16:creationId xmlns:a16="http://schemas.microsoft.com/office/drawing/2014/main" id="{FDC92C51-E863-FD50-070C-5A16595D161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524" y="3209925"/>
              <a:ext cx="1870075" cy="3409950"/>
            </a:xfrm>
            <a:prstGeom prst="rect">
              <a:avLst/>
            </a:prstGeom>
            <a:solidFill>
              <a:prstClr val="white"/>
            </a:solidFill>
            <a:ln w="1">
              <a:solidFill>
                <a:prstClr val="green"/>
              </a:solidFill>
            </a:ln>
          </xdr:spPr>
          <xdr:txBody>
            <a:bodyPr vertOverflow="clip" horzOverflow="clip"/>
            <a:lstStyle/>
            <a:p>
              <a:r>
                <a:rPr lang="en-N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sshpy" refreshedDate="46167.007391782405" createdVersion="8" refreshedVersion="8" minRefreshableVersion="3" recordCount="20" xr:uid="{18863536-5DE2-4AF0-9028-CBD93029DFA4}">
  <cacheSource type="worksheet">
    <worksheetSource name="supply_chain_dashboard_raw_data3"/>
  </cacheSource>
  <cacheFields count="20">
    <cacheField name="Date" numFmtId="14">
      <sharedItems containsSemiMixedTypes="0" containsNonDate="0" containsDate="1" containsString="0" minDate="2024-09-23T00:00:00" maxDate="2025-03-11T00:00:00" count="20">
        <d v="2024-09-23T00:00:00"/>
        <d v="2024-09-30T00:00:00"/>
        <d v="2024-10-07T00:00:00"/>
        <d v="2024-10-14T00:00:00"/>
        <d v="2024-10-21T00:00:00"/>
        <d v="2024-11-04T00:00:00"/>
        <d v="2024-11-11T00:00:00"/>
        <d v="2024-11-18T00:00:00"/>
        <d v="2024-12-02T00:00:00"/>
        <d v="2024-12-16T00:00:00"/>
        <d v="2025-01-06T00:00:00"/>
        <d v="2025-01-13T00:00:00"/>
        <d v="2025-01-20T00:00:00"/>
        <d v="2025-01-27T00:00:00"/>
        <d v="2025-02-03T00:00:00"/>
        <d v="2025-02-10T00:00:00"/>
        <d v="2025-02-17T00:00:00"/>
        <d v="2025-02-24T00:00:00"/>
        <d v="2025-03-03T00:00:00"/>
        <d v="2025-03-10T00:00:00"/>
      </sharedItems>
      <fieldGroup par="19"/>
    </cacheField>
    <cacheField name="Week" numFmtId="0">
      <sharedItems containsSemiMixedTypes="0" containsString="0" containsNumber="1" containsInteger="1" minValue="1" maxValue="50" count="20">
        <n v="39"/>
        <n v="40"/>
        <n v="41"/>
        <n v="42"/>
        <n v="43"/>
        <n v="46"/>
        <n v="47"/>
        <n v="48"/>
        <n v="49"/>
        <n v="50"/>
        <n v="1"/>
        <n v="2"/>
        <n v="3"/>
        <n v="4"/>
        <n v="5"/>
        <n v="6"/>
        <n v="7"/>
        <n v="8"/>
        <n v="9"/>
        <n v="10"/>
      </sharedItems>
    </cacheField>
    <cacheField name="Quarter" numFmtId="0">
      <sharedItems count="3">
        <s v="Q3"/>
        <s v="Q4"/>
        <s v="Q1"/>
      </sharedItems>
    </cacheField>
    <cacheField name="Distribution Center" numFmtId="0">
      <sharedItems count="4">
        <s v="DC North"/>
        <s v="DC South"/>
        <s v="DC East"/>
        <s v="DC West"/>
      </sharedItems>
    </cacheField>
    <cacheField name="Category" numFmtId="0">
      <sharedItems count="11">
        <s v="Green Grapes"/>
        <s v="Specialty Grapes"/>
        <s v="Red Grapes"/>
        <s v="Duo"/>
        <s v="Peppers"/>
        <s v="Lemons"/>
        <s v="Oranges"/>
        <s v="Mandarins"/>
        <s v="Tomatoes"/>
        <s v="Cukes"/>
        <s v="Specialty Citrus"/>
      </sharedItems>
    </cacheField>
    <cacheField name="Sub-Category" numFmtId="0">
      <sharedItems count="3">
        <s v="Grapes"/>
        <s v="HH Veg"/>
        <s v="Citrus"/>
      </sharedItems>
    </cacheField>
    <cacheField name="Mode" numFmtId="0">
      <sharedItems count="2">
        <s v="CV"/>
        <s v="ORG"/>
      </sharedItems>
    </cacheField>
    <cacheField name="Shipper" numFmtId="0">
      <sharedItems count="2">
        <s v="DHL"/>
        <s v="UPS"/>
      </sharedItems>
    </cacheField>
    <cacheField name="Grower" numFmtId="0">
      <sharedItems count="10">
        <s v="FreshFields"/>
        <s v="SunGrow"/>
        <s v="VineHarvest"/>
        <s v="FruitLine"/>
        <s v="GreenFarm"/>
        <s v="CitrusPro"/>
        <s v="OrangeFresh"/>
        <s v="GoldenFruit"/>
        <s v="FreshHarvest"/>
        <s v="FarmHouse"/>
      </sharedItems>
    </cacheField>
    <cacheField name="SKU" numFmtId="0">
      <sharedItems count="20">
        <s v="GG001"/>
        <s v="SG001"/>
        <s v="RG001"/>
        <s v="DU001"/>
        <s v="PP001"/>
        <s v="LM001"/>
        <s v="OR001"/>
        <s v="MD001"/>
        <s v="TM001"/>
        <s v="CK001"/>
        <s v="SC001"/>
        <s v="GG002"/>
        <s v="SG002"/>
        <s v="RG002"/>
        <s v="DU002"/>
        <s v="PP002"/>
        <s v="LM002"/>
        <s v="OR002"/>
        <s v="MD002"/>
        <s v="TM002"/>
      </sharedItems>
    </cacheField>
    <cacheField name="Ordered Qty" numFmtId="0">
      <sharedItems containsSemiMixedTypes="0" containsString="0" containsNumber="1" containsInteger="1" minValue="8900" maxValue="10800" count="12">
        <n v="9800"/>
        <n v="9200"/>
        <n v="10200"/>
        <n v="9600"/>
        <n v="10800"/>
        <n v="9900"/>
        <n v="9700"/>
        <n v="9400"/>
        <n v="9300"/>
        <n v="10500"/>
        <n v="10100"/>
        <n v="8900"/>
      </sharedItems>
    </cacheField>
    <cacheField name="Filled Qty" numFmtId="0">
      <sharedItems containsSemiMixedTypes="0" containsString="0" containsNumber="1" containsInteger="1" minValue="8740" maxValue="10479" count="20">
        <n v="9560"/>
        <n v="9117"/>
        <n v="10220"/>
        <n v="8781"/>
        <n v="9149"/>
        <n v="10390"/>
        <n v="9642"/>
        <n v="9640"/>
        <n v="8845"/>
        <n v="9260"/>
        <n v="10479"/>
        <n v="10090"/>
        <n v="8882"/>
        <n v="9908"/>
        <n v="9136"/>
        <n v="9744"/>
        <n v="9033"/>
        <n v="9420"/>
        <n v="9898"/>
        <n v="8740"/>
      </sharedItems>
    </cacheField>
    <cacheField name="Unsaleable Qty" numFmtId="0">
      <sharedItems containsSemiMixedTypes="0" containsString="0" containsNumber="1" containsInteger="1" minValue="320" maxValue="1363" count="20">
        <n v="320"/>
        <n v="718"/>
        <n v="367"/>
        <n v="343"/>
        <n v="1363"/>
        <n v="540"/>
        <n v="901"/>
        <n v="737"/>
        <n v="752"/>
        <n v="539"/>
        <n v="609"/>
        <n v="344"/>
        <n v="507"/>
        <n v="568"/>
        <n v="336"/>
        <n v="592"/>
        <n v="855"/>
        <n v="720"/>
        <n v="660"/>
        <n v="837"/>
      </sharedItems>
    </cacheField>
    <cacheField name="Total Cost" numFmtId="165">
      <sharedItems containsSemiMixedTypes="0" containsString="0" containsNumber="1" containsInteger="1" minValue="12100" maxValue="16800" count="19">
        <n v="14700"/>
        <n v="13200"/>
        <n v="15400"/>
        <n v="12100"/>
        <n v="13600"/>
        <n v="15900"/>
        <n v="14600"/>
        <n v="14300"/>
        <n v="12700"/>
        <n v="12200"/>
        <n v="16800"/>
        <n v="15000"/>
        <n v="12800"/>
        <n v="15100"/>
        <n v="12900"/>
        <n v="14800"/>
        <n v="13800"/>
        <n v="14200"/>
        <n v="12600"/>
      </sharedItems>
    </cacheField>
    <cacheField name="Stores Ordered" numFmtId="0">
      <sharedItems containsSemiMixedTypes="0" containsString="0" containsNumber="1" containsInteger="1" minValue="69" maxValue="88" count="19">
        <n v="84"/>
        <n v="79"/>
        <n v="88"/>
        <n v="72"/>
        <n v="74"/>
        <n v="81"/>
        <n v="78"/>
        <n v="80"/>
        <n v="69"/>
        <n v="76"/>
        <n v="87"/>
        <n v="85"/>
        <n v="77"/>
        <n v="86"/>
        <n v="75"/>
        <n v="82"/>
        <n v="71"/>
        <n v="83"/>
        <n v="70"/>
      </sharedItems>
    </cacheField>
    <cacheField name="Avg Fill Rate %" numFmtId="9">
      <sharedItems containsSemiMixedTypes="0" containsString="0" containsNumber="1" minValue="0.89602040816326534" maxValue="1.0110204081632652" count="20">
        <n v="0.97551020408163269"/>
        <n v="0.9909782608695652"/>
        <n v="1.0019607843137255"/>
        <n v="0.89602040816326534"/>
        <n v="0.95302083333333332"/>
        <n v="0.96203703703703702"/>
        <n v="0.97393939393939399"/>
        <n v="0.99381443298969074"/>
        <n v="0.94095744680851068"/>
        <n v="0.99569892473118282"/>
        <n v="0.998"/>
        <n v="0.99900990099009901"/>
        <n v="0.9979775280898876"/>
        <n v="1.0110204081632652"/>
        <n v="0.95166666666666666"/>
        <n v="0.95529411764705885"/>
        <n v="0.96095744680851058"/>
        <n v="0.96122448979591835"/>
        <n v="0.98"/>
        <n v="0.95"/>
      </sharedItems>
    </cacheField>
    <cacheField name="Avg Unsaleable %" numFmtId="9">
      <sharedItems containsSemiMixedTypes="0" containsString="0" containsNumber="1" minValue="3.2653061224489799E-2" maxValue="0.14197916666666666" count="19">
        <n v="3.2653061224489799E-2"/>
        <n v="7.8043478260869562E-2"/>
        <n v="3.5980392156862745E-2"/>
        <n v="3.5000000000000003E-2"/>
        <n v="0.14197916666666666"/>
        <n v="0.05"/>
        <n v="9.1010101010101013E-2"/>
        <n v="7.5979381443298966E-2"/>
        <n v="0.08"/>
        <n v="5.7956989247311831E-2"/>
        <n v="5.8000000000000003E-2"/>
        <n v="3.4059405940594062E-2"/>
        <n v="5.696629213483146E-2"/>
        <n v="5.7959183673469389E-2"/>
        <n v="5.8039215686274508E-2"/>
        <n v="9.0957446808510645E-2"/>
        <n v="7.3469387755102047E-2"/>
        <n v="6.5346534653465349E-2"/>
        <n v="9.0978260869565217E-2"/>
      </sharedItems>
    </cacheField>
    <cacheField name="Months (Date)" numFmtId="0" databaseField="0">
      <fieldGroup base="0">
        <rangePr groupBy="months" startDate="2024-09-23T00:00:00" endDate="2025-03-11T00:00:00"/>
        <groupItems count="14">
          <s v="&lt;23/09/2024"/>
          <s v="Jan"/>
          <s v="Feb"/>
          <s v="Mar"/>
          <s v="Apr"/>
          <s v="May"/>
          <s v="Jun"/>
          <s v="Jul"/>
          <s v="Aug"/>
          <s v="Sept"/>
          <s v="Oct"/>
          <s v="Nov"/>
          <s v="Dec"/>
          <s v="&gt;11/03/2025"/>
        </groupItems>
      </fieldGroup>
    </cacheField>
    <cacheField name="Quarters (Date)" numFmtId="0" databaseField="0">
      <fieldGroup base="0">
        <rangePr groupBy="quarters" startDate="2024-09-23T00:00:00" endDate="2025-03-11T00:00:00"/>
        <groupItems count="6">
          <s v="&lt;23/09/2024"/>
          <s v="Qtr1"/>
          <s v="Qtr2"/>
          <s v="Qtr3"/>
          <s v="Qtr4"/>
          <s v="&gt;11/03/2025"/>
        </groupItems>
      </fieldGroup>
    </cacheField>
    <cacheField name="Years (Date)" numFmtId="0" databaseField="0">
      <fieldGroup base="0">
        <rangePr groupBy="years" startDate="2024-09-23T00:00:00" endDate="2025-03-11T00:00:00"/>
        <groupItems count="4">
          <s v="&lt;23/09/2024"/>
          <s v="2024"/>
          <s v="2025"/>
          <s v="&gt;11/03/2025"/>
        </groupItems>
      </fieldGroup>
    </cacheField>
  </cacheFields>
  <extLst>
    <ext xmlns:x14="http://schemas.microsoft.com/office/spreadsheetml/2009/9/main" uri="{725AE2AE-9491-48be-B2B4-4EB974FC3084}">
      <x14:pivotCacheDefinition pivotCacheId="7035950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x v="0"/>
    <x v="0"/>
    <x v="0"/>
    <x v="0"/>
    <x v="0"/>
    <x v="0"/>
    <x v="0"/>
    <x v="0"/>
    <x v="0"/>
    <x v="0"/>
    <x v="0"/>
    <x v="0"/>
    <x v="0"/>
  </r>
  <r>
    <x v="1"/>
    <x v="1"/>
    <x v="0"/>
    <x v="0"/>
    <x v="1"/>
    <x v="0"/>
    <x v="0"/>
    <x v="0"/>
    <x v="1"/>
    <x v="1"/>
    <x v="1"/>
    <x v="1"/>
    <x v="1"/>
    <x v="1"/>
    <x v="1"/>
    <x v="1"/>
    <x v="1"/>
  </r>
  <r>
    <x v="2"/>
    <x v="2"/>
    <x v="1"/>
    <x v="1"/>
    <x v="2"/>
    <x v="0"/>
    <x v="1"/>
    <x v="1"/>
    <x v="2"/>
    <x v="2"/>
    <x v="2"/>
    <x v="2"/>
    <x v="2"/>
    <x v="2"/>
    <x v="2"/>
    <x v="2"/>
    <x v="2"/>
  </r>
  <r>
    <x v="3"/>
    <x v="3"/>
    <x v="1"/>
    <x v="1"/>
    <x v="3"/>
    <x v="0"/>
    <x v="0"/>
    <x v="1"/>
    <x v="3"/>
    <x v="3"/>
    <x v="0"/>
    <x v="3"/>
    <x v="3"/>
    <x v="3"/>
    <x v="3"/>
    <x v="3"/>
    <x v="3"/>
  </r>
  <r>
    <x v="4"/>
    <x v="4"/>
    <x v="1"/>
    <x v="2"/>
    <x v="4"/>
    <x v="1"/>
    <x v="1"/>
    <x v="0"/>
    <x v="4"/>
    <x v="4"/>
    <x v="3"/>
    <x v="4"/>
    <x v="4"/>
    <x v="4"/>
    <x v="4"/>
    <x v="4"/>
    <x v="4"/>
  </r>
  <r>
    <x v="5"/>
    <x v="5"/>
    <x v="1"/>
    <x v="2"/>
    <x v="5"/>
    <x v="2"/>
    <x v="0"/>
    <x v="1"/>
    <x v="5"/>
    <x v="5"/>
    <x v="4"/>
    <x v="5"/>
    <x v="5"/>
    <x v="5"/>
    <x v="5"/>
    <x v="5"/>
    <x v="5"/>
  </r>
  <r>
    <x v="6"/>
    <x v="6"/>
    <x v="1"/>
    <x v="3"/>
    <x v="6"/>
    <x v="2"/>
    <x v="1"/>
    <x v="0"/>
    <x v="6"/>
    <x v="6"/>
    <x v="5"/>
    <x v="6"/>
    <x v="6"/>
    <x v="6"/>
    <x v="6"/>
    <x v="6"/>
    <x v="6"/>
  </r>
  <r>
    <x v="7"/>
    <x v="7"/>
    <x v="1"/>
    <x v="3"/>
    <x v="7"/>
    <x v="2"/>
    <x v="0"/>
    <x v="1"/>
    <x v="7"/>
    <x v="7"/>
    <x v="6"/>
    <x v="7"/>
    <x v="7"/>
    <x v="7"/>
    <x v="7"/>
    <x v="7"/>
    <x v="7"/>
  </r>
  <r>
    <x v="8"/>
    <x v="8"/>
    <x v="1"/>
    <x v="0"/>
    <x v="8"/>
    <x v="1"/>
    <x v="1"/>
    <x v="0"/>
    <x v="8"/>
    <x v="8"/>
    <x v="7"/>
    <x v="8"/>
    <x v="8"/>
    <x v="8"/>
    <x v="8"/>
    <x v="8"/>
    <x v="8"/>
  </r>
  <r>
    <x v="9"/>
    <x v="9"/>
    <x v="1"/>
    <x v="0"/>
    <x v="9"/>
    <x v="1"/>
    <x v="0"/>
    <x v="1"/>
    <x v="9"/>
    <x v="9"/>
    <x v="8"/>
    <x v="9"/>
    <x v="9"/>
    <x v="9"/>
    <x v="9"/>
    <x v="9"/>
    <x v="9"/>
  </r>
  <r>
    <x v="10"/>
    <x v="10"/>
    <x v="2"/>
    <x v="1"/>
    <x v="10"/>
    <x v="2"/>
    <x v="0"/>
    <x v="0"/>
    <x v="5"/>
    <x v="10"/>
    <x v="9"/>
    <x v="10"/>
    <x v="10"/>
    <x v="10"/>
    <x v="10"/>
    <x v="10"/>
    <x v="10"/>
  </r>
  <r>
    <x v="11"/>
    <x v="11"/>
    <x v="2"/>
    <x v="1"/>
    <x v="0"/>
    <x v="0"/>
    <x v="1"/>
    <x v="1"/>
    <x v="0"/>
    <x v="11"/>
    <x v="10"/>
    <x v="11"/>
    <x v="11"/>
    <x v="11"/>
    <x v="11"/>
    <x v="11"/>
    <x v="11"/>
  </r>
  <r>
    <x v="12"/>
    <x v="12"/>
    <x v="2"/>
    <x v="2"/>
    <x v="1"/>
    <x v="0"/>
    <x v="0"/>
    <x v="0"/>
    <x v="1"/>
    <x v="12"/>
    <x v="11"/>
    <x v="12"/>
    <x v="12"/>
    <x v="12"/>
    <x v="12"/>
    <x v="12"/>
    <x v="12"/>
  </r>
  <r>
    <x v="13"/>
    <x v="13"/>
    <x v="2"/>
    <x v="2"/>
    <x v="2"/>
    <x v="0"/>
    <x v="0"/>
    <x v="0"/>
    <x v="2"/>
    <x v="13"/>
    <x v="0"/>
    <x v="13"/>
    <x v="13"/>
    <x v="13"/>
    <x v="13"/>
    <x v="13"/>
    <x v="13"/>
  </r>
  <r>
    <x v="14"/>
    <x v="14"/>
    <x v="2"/>
    <x v="3"/>
    <x v="3"/>
    <x v="0"/>
    <x v="1"/>
    <x v="1"/>
    <x v="3"/>
    <x v="14"/>
    <x v="3"/>
    <x v="14"/>
    <x v="14"/>
    <x v="14"/>
    <x v="14"/>
    <x v="14"/>
    <x v="3"/>
  </r>
  <r>
    <x v="15"/>
    <x v="15"/>
    <x v="2"/>
    <x v="3"/>
    <x v="4"/>
    <x v="1"/>
    <x v="0"/>
    <x v="0"/>
    <x v="4"/>
    <x v="15"/>
    <x v="2"/>
    <x v="15"/>
    <x v="15"/>
    <x v="15"/>
    <x v="15"/>
    <x v="15"/>
    <x v="14"/>
  </r>
  <r>
    <x v="16"/>
    <x v="16"/>
    <x v="2"/>
    <x v="0"/>
    <x v="5"/>
    <x v="2"/>
    <x v="1"/>
    <x v="1"/>
    <x v="5"/>
    <x v="16"/>
    <x v="7"/>
    <x v="16"/>
    <x v="16"/>
    <x v="16"/>
    <x v="16"/>
    <x v="16"/>
    <x v="15"/>
  </r>
  <r>
    <x v="17"/>
    <x v="17"/>
    <x v="2"/>
    <x v="0"/>
    <x v="6"/>
    <x v="2"/>
    <x v="0"/>
    <x v="0"/>
    <x v="6"/>
    <x v="17"/>
    <x v="0"/>
    <x v="17"/>
    <x v="17"/>
    <x v="17"/>
    <x v="9"/>
    <x v="17"/>
    <x v="16"/>
  </r>
  <r>
    <x v="18"/>
    <x v="18"/>
    <x v="2"/>
    <x v="1"/>
    <x v="7"/>
    <x v="2"/>
    <x v="1"/>
    <x v="1"/>
    <x v="7"/>
    <x v="18"/>
    <x v="10"/>
    <x v="18"/>
    <x v="18"/>
    <x v="13"/>
    <x v="17"/>
    <x v="18"/>
    <x v="17"/>
  </r>
  <r>
    <x v="19"/>
    <x v="19"/>
    <x v="2"/>
    <x v="1"/>
    <x v="8"/>
    <x v="1"/>
    <x v="0"/>
    <x v="0"/>
    <x v="8"/>
    <x v="19"/>
    <x v="1"/>
    <x v="19"/>
    <x v="19"/>
    <x v="18"/>
    <x v="18"/>
    <x v="19"/>
    <x v="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D77451-A22B-49F8-A0BD-C08FEBE3B92C}" name="PivotTable6"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64:B87" firstHeaderRow="1" firstDataRow="1" firstDataCol="1"/>
  <pivotFields count="20">
    <pivotField numFmtId="14"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showAll="0">
      <items count="5">
        <item x="2"/>
        <item x="0"/>
        <item x="1"/>
        <item x="3"/>
        <item t="default"/>
      </items>
    </pivotField>
    <pivotField axis="axisRow" showAll="0">
      <items count="12">
        <item x="9"/>
        <item x="3"/>
        <item x="0"/>
        <item x="5"/>
        <item x="7"/>
        <item x="6"/>
        <item x="4"/>
        <item x="2"/>
        <item x="10"/>
        <item x="1"/>
        <item x="8"/>
        <item t="default"/>
      </items>
    </pivotField>
    <pivotField axis="axisRow" showAll="0">
      <items count="4">
        <item x="2"/>
        <item x="0"/>
        <item x="1"/>
        <item t="default"/>
      </items>
    </pivotField>
    <pivotField showAll="0">
      <items count="3">
        <item x="0"/>
        <item x="1"/>
        <item t="default"/>
      </items>
    </pivotField>
    <pivotField showAll="0">
      <items count="3">
        <item x="0"/>
        <item x="1"/>
        <item t="default"/>
      </items>
    </pivotField>
    <pivotField showAll="0">
      <items count="11">
        <item x="5"/>
        <item x="9"/>
        <item x="0"/>
        <item x="8"/>
        <item x="3"/>
        <item x="7"/>
        <item x="4"/>
        <item x="6"/>
        <item x="1"/>
        <item x="2"/>
        <item t="default"/>
      </items>
    </pivotField>
    <pivotField showAll="0"/>
    <pivotField showAll="0"/>
    <pivotField showAll="0"/>
    <pivotField showAll="0"/>
    <pivotField numFmtId="165" showAll="0"/>
    <pivotField dataField="1" showAll="0"/>
    <pivotField numFmtId="9" showAll="0"/>
    <pivotField numFmtId="9" showAll="0"/>
    <pivotField showAll="0" defaultSubtotal="0"/>
    <pivotField showAll="0" defaultSubtotal="0"/>
    <pivotField showAll="0" defaultSubtotal="0">
      <items count="4">
        <item x="0"/>
        <item x="1"/>
        <item x="2"/>
        <item x="3"/>
      </items>
    </pivotField>
  </pivotFields>
  <rowFields count="2">
    <field x="4"/>
    <field x="5"/>
  </rowFields>
  <rowItems count="23">
    <i>
      <x/>
    </i>
    <i r="1">
      <x v="2"/>
    </i>
    <i>
      <x v="1"/>
    </i>
    <i r="1">
      <x v="1"/>
    </i>
    <i>
      <x v="2"/>
    </i>
    <i r="1">
      <x v="1"/>
    </i>
    <i>
      <x v="3"/>
    </i>
    <i r="1">
      <x/>
    </i>
    <i>
      <x v="4"/>
    </i>
    <i r="1">
      <x/>
    </i>
    <i>
      <x v="5"/>
    </i>
    <i r="1">
      <x/>
    </i>
    <i>
      <x v="6"/>
    </i>
    <i r="1">
      <x v="2"/>
    </i>
    <i>
      <x v="7"/>
    </i>
    <i r="1">
      <x v="1"/>
    </i>
    <i>
      <x v="8"/>
    </i>
    <i r="1">
      <x/>
    </i>
    <i>
      <x v="9"/>
    </i>
    <i r="1">
      <x v="1"/>
    </i>
    <i>
      <x v="10"/>
    </i>
    <i r="1">
      <x v="2"/>
    </i>
    <i t="grand">
      <x/>
    </i>
  </rowItems>
  <colItems count="1">
    <i/>
  </colItems>
  <dataFields count="1">
    <dataField name="Sum of Stores Ordered" fld="1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121EC5-EC40-4AD2-B582-B8C7F3C68272}" name="PivotTable5"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8:B51" firstHeaderRow="1" firstDataRow="1" firstDataCol="1"/>
  <pivotFields count="20">
    <pivotField numFmtId="14"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showAll="0">
      <items count="5">
        <item x="2"/>
        <item x="0"/>
        <item x="1"/>
        <item x="3"/>
        <item t="default"/>
      </items>
    </pivotField>
    <pivotField showAll="0">
      <items count="12">
        <item x="9"/>
        <item x="3"/>
        <item x="0"/>
        <item x="5"/>
        <item x="7"/>
        <item x="6"/>
        <item x="4"/>
        <item x="2"/>
        <item x="10"/>
        <item x="1"/>
        <item x="8"/>
        <item t="default"/>
      </items>
    </pivotField>
    <pivotField showAll="0"/>
    <pivotField axis="axisRow" showAll="0">
      <items count="3">
        <item x="0"/>
        <item x="1"/>
        <item t="default"/>
      </items>
    </pivotField>
    <pivotField showAll="0">
      <items count="3">
        <item x="0"/>
        <item x="1"/>
        <item t="default"/>
      </items>
    </pivotField>
    <pivotField showAll="0">
      <items count="11">
        <item x="5"/>
        <item x="9"/>
        <item x="0"/>
        <item x="8"/>
        <item x="3"/>
        <item x="7"/>
        <item x="4"/>
        <item x="6"/>
        <item x="1"/>
        <item x="2"/>
        <item t="default"/>
      </items>
    </pivotField>
    <pivotField showAll="0"/>
    <pivotField dataField="1" showAll="0"/>
    <pivotField showAll="0"/>
    <pivotField showAll="0"/>
    <pivotField numFmtId="165" showAll="0"/>
    <pivotField showAll="0"/>
    <pivotField numFmtId="9" showAll="0"/>
    <pivotField numFmtId="9" showAll="0"/>
    <pivotField showAll="0" defaultSubtotal="0"/>
    <pivotField showAll="0" defaultSubtotal="0"/>
    <pivotField showAll="0" defaultSubtotal="0">
      <items count="4">
        <item x="0"/>
        <item x="1"/>
        <item x="2"/>
        <item x="3"/>
      </items>
    </pivotField>
  </pivotFields>
  <rowFields count="1">
    <field x="6"/>
  </rowFields>
  <rowItems count="3">
    <i>
      <x/>
    </i>
    <i>
      <x v="1"/>
    </i>
    <i t="grand">
      <x/>
    </i>
  </rowItems>
  <colItems count="1">
    <i/>
  </colItems>
  <dataFields count="1">
    <dataField name="Sum of Ordered Qty" fld="10" showDataAs="percentOfTotal" baseField="6" baseItem="0" numFmtId="10"/>
  </dataField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6" count="1" selected="0">
            <x v="0"/>
          </reference>
        </references>
      </pivotArea>
    </chartFormat>
    <chartFormat chart="2" format="6">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A51F70-3487-4D4F-8279-B4FD1126ECA4}" name="PivotTable2"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F26:H38" firstHeaderRow="0" firstDataRow="1" firstDataCol="1"/>
  <pivotFields count="20">
    <pivotField numFmtId="14"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showAll="0">
      <items count="5">
        <item x="2"/>
        <item x="0"/>
        <item x="1"/>
        <item x="3"/>
        <item t="default"/>
      </items>
    </pivotField>
    <pivotField axis="axisRow" showAll="0">
      <items count="12">
        <item x="9"/>
        <item x="3"/>
        <item x="0"/>
        <item x="5"/>
        <item x="7"/>
        <item x="6"/>
        <item x="4"/>
        <item x="2"/>
        <item x="10"/>
        <item x="1"/>
        <item x="8"/>
        <item t="default"/>
      </items>
    </pivotField>
    <pivotField showAll="0"/>
    <pivotField showAll="0">
      <items count="3">
        <item x="0"/>
        <item x="1"/>
        <item t="default"/>
      </items>
    </pivotField>
    <pivotField showAll="0">
      <items count="3">
        <item x="0"/>
        <item x="1"/>
        <item t="default"/>
      </items>
    </pivotField>
    <pivotField showAll="0">
      <items count="11">
        <item x="5"/>
        <item x="9"/>
        <item x="0"/>
        <item x="8"/>
        <item x="3"/>
        <item x="7"/>
        <item x="4"/>
        <item x="6"/>
        <item x="1"/>
        <item x="2"/>
        <item t="default"/>
      </items>
    </pivotField>
    <pivotField showAll="0"/>
    <pivotField showAll="0"/>
    <pivotField showAll="0"/>
    <pivotField showAll="0"/>
    <pivotField numFmtId="165" showAll="0"/>
    <pivotField showAll="0"/>
    <pivotField dataField="1" numFmtId="9" showAll="0">
      <items count="21">
        <item x="3"/>
        <item x="8"/>
        <item x="19"/>
        <item x="14"/>
        <item x="4"/>
        <item x="15"/>
        <item x="16"/>
        <item x="17"/>
        <item x="5"/>
        <item x="6"/>
        <item x="0"/>
        <item x="18"/>
        <item x="1"/>
        <item x="7"/>
        <item x="9"/>
        <item x="12"/>
        <item x="10"/>
        <item x="11"/>
        <item x="2"/>
        <item x="13"/>
        <item t="default"/>
      </items>
    </pivotField>
    <pivotField dataField="1" numFmtId="9" showAll="0">
      <items count="20">
        <item x="0"/>
        <item x="11"/>
        <item x="3"/>
        <item x="2"/>
        <item x="5"/>
        <item x="12"/>
        <item x="9"/>
        <item x="13"/>
        <item x="10"/>
        <item x="14"/>
        <item x="17"/>
        <item x="16"/>
        <item x="7"/>
        <item x="1"/>
        <item x="8"/>
        <item x="15"/>
        <item x="18"/>
        <item x="6"/>
        <item x="4"/>
        <item t="default"/>
      </items>
    </pivotField>
    <pivotField showAll="0" defaultSubtotal="0"/>
    <pivotField showAll="0" defaultSubtotal="0"/>
    <pivotField showAll="0" defaultSubtotal="0">
      <items count="4">
        <item x="0"/>
        <item x="1"/>
        <item x="2"/>
        <item x="3"/>
      </items>
    </pivotField>
  </pivotFields>
  <rowFields count="1">
    <field x="4"/>
  </rowFields>
  <rowItems count="12">
    <i>
      <x/>
    </i>
    <i>
      <x v="1"/>
    </i>
    <i>
      <x v="2"/>
    </i>
    <i>
      <x v="3"/>
    </i>
    <i>
      <x v="4"/>
    </i>
    <i>
      <x v="5"/>
    </i>
    <i>
      <x v="6"/>
    </i>
    <i>
      <x v="7"/>
    </i>
    <i>
      <x v="8"/>
    </i>
    <i>
      <x v="9"/>
    </i>
    <i>
      <x v="10"/>
    </i>
    <i t="grand">
      <x/>
    </i>
  </rowItems>
  <colFields count="1">
    <field x="-2"/>
  </colFields>
  <colItems count="2">
    <i>
      <x/>
    </i>
    <i i="1">
      <x v="1"/>
    </i>
  </colItems>
  <dataFields count="2">
    <dataField name="Average of Avg Fill Rate %" fld="15" subtotal="average" baseField="4" baseItem="8" numFmtId="9"/>
    <dataField name="Sum of Avg Unsaleable %" fld="16" baseField="0" baseItem="0" numFmtId="9"/>
  </dataFields>
  <chartFormats count="4">
    <chartFormat chart="23"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1"/>
          </reference>
        </references>
      </pivotArea>
    </chartFormat>
    <chartFormat chart="25" format="4"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5FEC129-1BFA-43C6-A768-B22E5CDC2344}" name="PivotTable1"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46" firstHeaderRow="1" firstDataRow="1" firstDataCol="1"/>
  <pivotFields count="20">
    <pivotField numFmtId="14" showAll="0">
      <items count="21">
        <item x="0"/>
        <item x="1"/>
        <item x="2"/>
        <item x="3"/>
        <item x="4"/>
        <item x="5"/>
        <item x="6"/>
        <item x="7"/>
        <item x="8"/>
        <item x="9"/>
        <item x="10"/>
        <item x="11"/>
        <item x="12"/>
        <item x="13"/>
        <item x="14"/>
        <item x="15"/>
        <item x="16"/>
        <item x="17"/>
        <item x="18"/>
        <item x="19"/>
        <item t="default"/>
      </items>
    </pivotField>
    <pivotField axis="axisRow" showAll="0" sortType="descending">
      <items count="21">
        <item x="9"/>
        <item x="8"/>
        <item x="7"/>
        <item x="6"/>
        <item x="5"/>
        <item x="4"/>
        <item x="3"/>
        <item x="2"/>
        <item x="1"/>
        <item x="0"/>
        <item x="19"/>
        <item x="18"/>
        <item x="17"/>
        <item x="16"/>
        <item x="15"/>
        <item x="14"/>
        <item x="13"/>
        <item x="12"/>
        <item x="11"/>
        <item x="10"/>
        <item t="default"/>
      </items>
    </pivotField>
    <pivotField showAll="0">
      <items count="4">
        <item x="2"/>
        <item x="0"/>
        <item x="1"/>
        <item t="default"/>
      </items>
    </pivotField>
    <pivotField showAll="0">
      <items count="5">
        <item x="2"/>
        <item x="0"/>
        <item x="1"/>
        <item x="3"/>
        <item t="default"/>
      </items>
    </pivotField>
    <pivotField showAll="0">
      <items count="12">
        <item x="9"/>
        <item x="3"/>
        <item x="0"/>
        <item x="5"/>
        <item x="7"/>
        <item x="6"/>
        <item x="4"/>
        <item x="2"/>
        <item x="10"/>
        <item x="1"/>
        <item x="8"/>
        <item t="default"/>
      </items>
    </pivotField>
    <pivotField showAll="0"/>
    <pivotField showAll="0">
      <items count="3">
        <item x="0"/>
        <item x="1"/>
        <item t="default"/>
      </items>
    </pivotField>
    <pivotField showAll="0">
      <items count="3">
        <item x="0"/>
        <item x="1"/>
        <item t="default"/>
      </items>
    </pivotField>
    <pivotField showAll="0">
      <items count="11">
        <item x="5"/>
        <item x="9"/>
        <item x="0"/>
        <item x="8"/>
        <item x="3"/>
        <item x="7"/>
        <item x="4"/>
        <item x="6"/>
        <item x="1"/>
        <item x="2"/>
        <item t="default"/>
      </items>
    </pivotField>
    <pivotField showAll="0"/>
    <pivotField showAll="0"/>
    <pivotField showAll="0"/>
    <pivotField showAll="0"/>
    <pivotField dataField="1" numFmtId="165" showAll="0"/>
    <pivotField showAll="0"/>
    <pivotField numFmtId="9"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sumSubtotal="1" avgSubtotal="1">
      <items count="8">
        <item sd="0" x="0"/>
        <item sd="0" x="1"/>
        <item sd="0" x="2"/>
        <item sd="0" x="3"/>
        <item sd="0" x="4"/>
        <item sd="0" x="5"/>
        <item t="sum"/>
        <item t="avg"/>
      </items>
    </pivotField>
    <pivotField axis="axisRow" showAll="0" avgSubtotal="1">
      <items count="5">
        <item sd="0" x="0"/>
        <item sd="0" x="1"/>
        <item sd="0" x="2"/>
        <item sd="0" x="3"/>
        <item t="avg"/>
      </items>
    </pivotField>
  </pivotFields>
  <rowFields count="2">
    <field x="1"/>
    <field x="19"/>
  </rowFields>
  <rowItems count="45">
    <i>
      <x/>
    </i>
    <i r="1">
      <x v="1"/>
    </i>
    <i>
      <x v="1"/>
    </i>
    <i r="1">
      <x v="1"/>
    </i>
    <i>
      <x v="2"/>
    </i>
    <i r="1">
      <x v="1"/>
    </i>
    <i>
      <x v="3"/>
    </i>
    <i r="1">
      <x v="1"/>
    </i>
    <i>
      <x v="4"/>
    </i>
    <i r="1">
      <x v="1"/>
    </i>
    <i>
      <x v="5"/>
    </i>
    <i r="1">
      <x v="1"/>
    </i>
    <i>
      <x v="6"/>
    </i>
    <i r="1">
      <x v="1"/>
    </i>
    <i>
      <x v="7"/>
    </i>
    <i r="1">
      <x v="1"/>
    </i>
    <i>
      <x v="8"/>
    </i>
    <i r="1">
      <x v="1"/>
    </i>
    <i>
      <x v="9"/>
    </i>
    <i r="1">
      <x v="1"/>
    </i>
    <i>
      <x v="10"/>
    </i>
    <i r="1">
      <x v="2"/>
    </i>
    <i>
      <x v="11"/>
    </i>
    <i r="1">
      <x v="2"/>
    </i>
    <i>
      <x v="12"/>
    </i>
    <i r="1">
      <x v="2"/>
    </i>
    <i>
      <x v="13"/>
    </i>
    <i r="1">
      <x v="2"/>
    </i>
    <i>
      <x v="14"/>
    </i>
    <i r="1">
      <x v="2"/>
    </i>
    <i>
      <x v="15"/>
    </i>
    <i r="1">
      <x v="2"/>
    </i>
    <i>
      <x v="16"/>
    </i>
    <i r="1">
      <x v="2"/>
    </i>
    <i>
      <x v="17"/>
    </i>
    <i r="1">
      <x v="2"/>
    </i>
    <i>
      <x v="18"/>
    </i>
    <i r="1">
      <x v="2"/>
    </i>
    <i>
      <x v="19"/>
    </i>
    <i r="1">
      <x v="2"/>
    </i>
    <i t="avg">
      <x v="1048832"/>
      <x/>
    </i>
    <i t="avg" r="1">
      <x v="1"/>
    </i>
    <i t="avg" r="1">
      <x v="2"/>
    </i>
    <i t="avg" r="1">
      <x v="3"/>
    </i>
    <i t="grand">
      <x/>
    </i>
  </rowItems>
  <colItems count="1">
    <i/>
  </colItems>
  <dataFields count="1">
    <dataField name="Average of Total Cost" fld="13" subtotal="average" showDataAs="percentOfCol" baseField="19" baseItem="1" numFmtId="10"/>
  </dataFields>
  <chartFormats count="2">
    <chartFormat chart="0" format="0"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0867E46-9CDE-4A1F-A665-7BDBD43C0D44}" autoFormatId="16" applyNumberFormats="0" applyBorderFormats="0" applyFontFormats="0" applyPatternFormats="0" applyAlignmentFormats="0" applyWidthHeightFormats="0">
  <queryTableRefresh nextId="16">
    <queryTableFields count="15">
      <queryTableField id="1" name="Date" tableColumnId="1"/>
      <queryTableField id="2" name="Week" tableColumnId="2"/>
      <queryTableField id="3" name="Quarter" tableColumnId="3"/>
      <queryTableField id="4" name="Distribution Center" tableColumnId="4"/>
      <queryTableField id="5" name="Category" tableColumnId="5"/>
      <queryTableField id="6" name="Sub-Category" tableColumnId="6"/>
      <queryTableField id="7" name="Mode" tableColumnId="7"/>
      <queryTableField id="8" name="Shipper" tableColumnId="8"/>
      <queryTableField id="9" name="Grower" tableColumnId="9"/>
      <queryTableField id="10" name="SKU" tableColumnId="10"/>
      <queryTableField id="11" name="Ordered Qty" tableColumnId="11"/>
      <queryTableField id="12" name="Filled Qty" tableColumnId="12"/>
      <queryTableField id="13" name="Unsaleable Qty" tableColumnId="13"/>
      <queryTableField id="14" name="Total Cost" tableColumnId="14"/>
      <queryTableField id="15" name="Stores Ordered" tableColumnId="1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445C27E6-FC06-4415-9256-67431D7BCC74}" autoFormatId="16" applyNumberFormats="0" applyBorderFormats="0" applyFontFormats="0" applyPatternFormats="0" applyAlignmentFormats="0" applyWidthHeightFormats="0">
  <queryTableRefresh nextId="19" unboundColumnsRight="2">
    <queryTableFields count="17">
      <queryTableField id="1" name="Date" tableColumnId="1"/>
      <queryTableField id="2" name="Week" tableColumnId="2"/>
      <queryTableField id="3" name="Quarter" tableColumnId="3"/>
      <queryTableField id="4" name="Distribution Center" tableColumnId="4"/>
      <queryTableField id="5" name="Category" tableColumnId="5"/>
      <queryTableField id="6" name="Sub-Category" tableColumnId="6"/>
      <queryTableField id="7" name="Mode" tableColumnId="7"/>
      <queryTableField id="8" name="Shipper" tableColumnId="8"/>
      <queryTableField id="9" name="Grower" tableColumnId="9"/>
      <queryTableField id="10" name="SKU" tableColumnId="10"/>
      <queryTableField id="11" name="Ordered Qty" tableColumnId="11"/>
      <queryTableField id="12" name="Filled Qty" tableColumnId="12"/>
      <queryTableField id="13" name="Unsaleable Qty" tableColumnId="13"/>
      <queryTableField id="14" name="Total Cost" tableColumnId="14"/>
      <queryTableField id="15" name="Stores Ordered" tableColumnId="15"/>
      <queryTableField id="17" dataBound="0" tableColumnId="17"/>
      <queryTableField id="18" dataBound="0"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bution_Center" xr10:uid="{D8D3F4A0-3B33-4DC2-987D-3D29F52952E4}" sourceName="Distribution Center">
  <pivotTables>
    <pivotTable tabId="4" name="PivotTable1"/>
    <pivotTable tabId="4" name="PivotTable2"/>
    <pivotTable tabId="4" name="PivotTable5"/>
    <pivotTable tabId="4" name="PivotTable6"/>
  </pivotTables>
  <data>
    <tabular pivotCacheId="703595036">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3A1CAF8-D6A4-4A6C-9F86-7EF34510C0E0}" sourceName="Category">
  <pivotTables>
    <pivotTable tabId="4" name="PivotTable1"/>
    <pivotTable tabId="4" name="PivotTable2"/>
    <pivotTable tabId="4" name="PivotTable5"/>
    <pivotTable tabId="4" name="PivotTable6"/>
  </pivotTables>
  <data>
    <tabular pivotCacheId="703595036">
      <items count="11">
        <i x="9" s="1"/>
        <i x="3" s="1"/>
        <i x="0" s="1"/>
        <i x="5" s="1"/>
        <i x="7" s="1"/>
        <i x="6" s="1"/>
        <i x="4" s="1"/>
        <i x="2" s="1"/>
        <i x="10" s="1"/>
        <i x="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 xr10:uid="{019A42E5-DD84-49EA-9C21-04ED62B8B2FC}" sourceName="Mode">
  <pivotTables>
    <pivotTable tabId="4" name="PivotTable1"/>
    <pivotTable tabId="4" name="PivotTable2"/>
    <pivotTable tabId="4" name="PivotTable5"/>
    <pivotTable tabId="4" name="PivotTable6"/>
  </pivotTables>
  <data>
    <tabular pivotCacheId="703595036">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per" xr10:uid="{03809EAF-DD27-44A2-A752-1339578DA8B4}" sourceName="Shipper">
  <pivotTables>
    <pivotTable tabId="4" name="PivotTable1"/>
    <pivotTable tabId="4" name="PivotTable2"/>
    <pivotTable tabId="4" name="PivotTable5"/>
    <pivotTable tabId="4" name="PivotTable6"/>
  </pivotTables>
  <data>
    <tabular pivotCacheId="703595036">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ower" xr10:uid="{80D8F0E2-1708-4122-B7CF-9D63A9EC206D}" sourceName="Grower">
  <pivotTables>
    <pivotTable tabId="4" name="PivotTable1"/>
    <pivotTable tabId="4" name="PivotTable2"/>
    <pivotTable tabId="4" name="PivotTable5"/>
    <pivotTable tabId="4" name="PivotTable6"/>
  </pivotTables>
  <data>
    <tabular pivotCacheId="703595036">
      <items count="10">
        <i x="5" s="1"/>
        <i x="9" s="1"/>
        <i x="0" s="1"/>
        <i x="8" s="1"/>
        <i x="3" s="1"/>
        <i x="7" s="1"/>
        <i x="4" s="1"/>
        <i x="6"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A5268485-0E26-4B1F-8F84-E193A5D62FB5}" sourceName="Quarter">
  <pivotTables>
    <pivotTable tabId="4" name="PivotTable1"/>
    <pivotTable tabId="4" name="PivotTable2"/>
    <pivotTable tabId="4" name="PivotTable5"/>
    <pivotTable tabId="4" name="PivotTable6"/>
  </pivotTables>
  <data>
    <tabular pivotCacheId="703595036">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tribution Center" xr10:uid="{037A01CF-890A-4FBE-9DF5-832523620D21}" cache="Slicer_Distribution_Center" caption="Distribution Center" rowHeight="241300"/>
  <slicer name="Category" xr10:uid="{33E2B88B-63FA-4B98-81E9-0827F5561E25}" cache="Slicer_Category" caption="Category" rowHeight="241300"/>
  <slicer name="Mode" xr10:uid="{661E54A6-A727-441F-A7C7-37FA175F42F7}" cache="Slicer_Mode" caption="Mode" rowHeight="241300"/>
  <slicer name="Shipper" xr10:uid="{0A01BBD4-9400-4D48-B9CC-3D6877614FED}" cache="Slicer_Shipper" caption="Shipper" rowHeight="241300"/>
  <slicer name="Grower" xr10:uid="{49B6317C-C4AD-4B3D-B395-EE02A2F07D87}" cache="Slicer_Grower" caption="Grower" rowHeight="241300"/>
  <slicer name="Quarter" xr10:uid="{C13ABB89-0AD1-4025-8ADB-49C862961AFA}" cache="Slicer_Quarter" caption="Quarter"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E9F547-A666-4B07-8169-791455300975}" name="supply_chain_dashboard_raw_data" displayName="supply_chain_dashboard_raw_data" ref="A1:O21" tableType="queryTable" totalsRowShown="0">
  <autoFilter ref="A1:O21" xr:uid="{7BE9F547-A666-4B07-8169-791455300975}"/>
  <tableColumns count="15">
    <tableColumn id="1" xr3:uid="{185F513E-84B2-4611-9B6D-F8C58FA6B670}" uniqueName="1" name="Date" queryTableFieldId="1" dataDxfId="20"/>
    <tableColumn id="2" xr3:uid="{63EB7D65-86B5-453F-B3E6-416B2FC15F49}" uniqueName="2" name="Week" queryTableFieldId="2"/>
    <tableColumn id="3" xr3:uid="{401549E7-A7BF-4EAC-BEAE-8C8DA1A63B9C}" uniqueName="3" name="Quarter" queryTableFieldId="3" dataDxfId="19"/>
    <tableColumn id="4" xr3:uid="{598E8612-D901-49EA-9566-C74D2086697D}" uniqueName="4" name="Distribution Center" queryTableFieldId="4" dataDxfId="18"/>
    <tableColumn id="5" xr3:uid="{8C14104F-B329-4665-80D6-BA907006F2F7}" uniqueName="5" name="Category" queryTableFieldId="5" dataDxfId="17"/>
    <tableColumn id="6" xr3:uid="{D1BF7922-3EBC-4241-80B3-58A0633ED628}" uniqueName="6" name="Sub-Category" queryTableFieldId="6" dataDxfId="16"/>
    <tableColumn id="7" xr3:uid="{83D2597E-27EB-47B5-B7CB-0695E4CB2098}" uniqueName="7" name="Mode" queryTableFieldId="7" dataDxfId="15"/>
    <tableColumn id="8" xr3:uid="{BDBC96DF-4AF6-4BA9-AE56-BF4BFA8C5ABA}" uniqueName="8" name="Shipper" queryTableFieldId="8" dataDxfId="14"/>
    <tableColumn id="9" xr3:uid="{17958F2D-E22D-4DBE-A616-D32D6343237A}" uniqueName="9" name="Grower" queryTableFieldId="9" dataDxfId="13"/>
    <tableColumn id="10" xr3:uid="{BA9BCAB9-B53B-4297-B82B-AD1F1D81432A}" uniqueName="10" name="SKU" queryTableFieldId="10" dataDxfId="12"/>
    <tableColumn id="11" xr3:uid="{E7D88EB0-3E12-40A0-94DB-A15970ED4089}" uniqueName="11" name="Ordered Qty" queryTableFieldId="11"/>
    <tableColumn id="12" xr3:uid="{762C84B9-C32A-4F8B-AF18-957E8E63228E}" uniqueName="12" name="Filled Qty" queryTableFieldId="12"/>
    <tableColumn id="13" xr3:uid="{7611B162-CF34-40E6-9CD0-6CBAD6940DBF}" uniqueName="13" name="Unsaleable Qty" queryTableFieldId="13"/>
    <tableColumn id="14" xr3:uid="{1A5444C4-C0B5-41CD-BB51-97B5DF927952}" uniqueName="14" name="Total Cost" queryTableFieldId="14"/>
    <tableColumn id="15" xr3:uid="{A22B0351-46CF-4FA3-A4A0-352AE306EF45}" uniqueName="15" name="Stores Ordered" queryTableFieldId="1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A50D554-A736-4F51-BC45-1D932247B7D9}" name="supply_chain_dashboard_raw_data3" displayName="supply_chain_dashboard_raw_data3" ref="A1:Q21" tableType="queryTable" totalsRowShown="0">
  <autoFilter ref="A1:Q21" xr:uid="{1A50D554-A736-4F51-BC45-1D932247B7D9}"/>
  <tableColumns count="17">
    <tableColumn id="1" xr3:uid="{D12B91C8-3549-4461-981A-6CB8B5A852C9}" uniqueName="1" name="Date" queryTableFieldId="1" dataDxfId="11"/>
    <tableColumn id="2" xr3:uid="{3E982BF9-0C12-4E74-A0CF-166FF6FC54C8}" uniqueName="2" name="Week" queryTableFieldId="2"/>
    <tableColumn id="3" xr3:uid="{4D184080-D5D8-449A-905C-57286B20BC20}" uniqueName="3" name="Quarter" queryTableFieldId="3" dataDxfId="10"/>
    <tableColumn id="4" xr3:uid="{EDCC101D-6462-43FA-876D-E2D46F72E63A}" uniqueName="4" name="Distribution Center" queryTableFieldId="4" dataDxfId="9"/>
    <tableColumn id="5" xr3:uid="{D1A3A27D-4CFC-422C-8B02-1DDB581B04BB}" uniqueName="5" name="Category" queryTableFieldId="5" dataDxfId="8"/>
    <tableColumn id="6" xr3:uid="{38A5C5F7-D4A8-401A-B3BE-6DC751F6CAE8}" uniqueName="6" name="Sub-Category" queryTableFieldId="6" dataDxfId="7"/>
    <tableColumn id="7" xr3:uid="{94407DE5-DCBA-4EF5-9838-47A1A06BCA49}" uniqueName="7" name="Mode" queryTableFieldId="7" dataDxfId="6"/>
    <tableColumn id="8" xr3:uid="{8B69C749-0850-40C8-B515-F9E6C31FE7A6}" uniqueName="8" name="Shipper" queryTableFieldId="8" dataDxfId="5"/>
    <tableColumn id="9" xr3:uid="{6F60C11D-58E6-4F68-B244-A59CCA44167C}" uniqueName="9" name="Grower" queryTableFieldId="9" dataDxfId="4"/>
    <tableColumn id="10" xr3:uid="{2F5DF6BF-CD02-4285-AEE0-3717D78033F7}" uniqueName="10" name="SKU" queryTableFieldId="10" dataDxfId="3"/>
    <tableColumn id="11" xr3:uid="{22802CAF-3F20-40DF-B873-3D79CD9541C3}" uniqueName="11" name="Ordered Qty" queryTableFieldId="11"/>
    <tableColumn id="12" xr3:uid="{E1EE7015-5312-44BF-90CD-272751826BB3}" uniqueName="12" name="Filled Qty" queryTableFieldId="12"/>
    <tableColumn id="13" xr3:uid="{D9B2B6B3-9B42-4DFE-89CE-ABD23D1987DC}" uniqueName="13" name="Unsaleable Qty" queryTableFieldId="13"/>
    <tableColumn id="14" xr3:uid="{1E7AE8DA-2114-41A4-8965-43C544BE8498}" uniqueName="14" name="Total Cost" queryTableFieldId="14" dataDxfId="2"/>
    <tableColumn id="15" xr3:uid="{8653F797-41A3-405A-A7EF-C93571FC721B}" uniqueName="15" name="Stores Ordered" queryTableFieldId="15"/>
    <tableColumn id="17" xr3:uid="{84C7CD86-F861-4329-81A2-2762ACE26942}" uniqueName="17" name="Avg Fill Rate %" queryTableFieldId="17" dataDxfId="1" dataCellStyle="Percent">
      <calculatedColumnFormula>supply_chain_dashboard_raw_data3[[#This Row],[Filled Qty]]/supply_chain_dashboard_raw_data3[[#This Row],[Ordered Qty]]</calculatedColumnFormula>
    </tableColumn>
    <tableColumn id="18" xr3:uid="{6CC9AC6A-3A26-4E67-B1FB-916C6E29B7B3}" uniqueName="18" name="Avg Unsaleable %" queryTableFieldId="18" dataDxfId="0" dataCellStyle="Percent">
      <calculatedColumnFormula>supply_chain_dashboard_raw_data3[[#This Row],[Unsaleable Qty]]/supply_chain_dashboard_raw_data3[[#This Row],[Ordered Qty]]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11D5F-95A6-4764-AE59-1CEF780AB575}">
  <dimension ref="A1:O21"/>
  <sheetViews>
    <sheetView workbookViewId="0">
      <selection sqref="A1:O21"/>
    </sheetView>
  </sheetViews>
  <sheetFormatPr defaultRowHeight="15" x14ac:dyDescent="0.25"/>
  <cols>
    <col min="1" max="1" width="10.7109375" bestFit="1" customWidth="1"/>
    <col min="2" max="2" width="8.5703125" bestFit="1" customWidth="1"/>
    <col min="3" max="3" width="10.140625" bestFit="1" customWidth="1"/>
    <col min="4" max="4" width="20.5703125" bestFit="1" customWidth="1"/>
    <col min="5" max="5" width="15.7109375" bestFit="1" customWidth="1"/>
    <col min="6" max="6" width="15.140625" bestFit="1" customWidth="1"/>
    <col min="7" max="7" width="8.5703125" bestFit="1" customWidth="1"/>
    <col min="8" max="8" width="10.140625" bestFit="1" customWidth="1"/>
    <col min="9" max="9" width="12.5703125" bestFit="1" customWidth="1"/>
    <col min="10" max="10" width="7" bestFit="1" customWidth="1"/>
    <col min="11" max="11" width="14.28515625" bestFit="1" customWidth="1"/>
    <col min="12" max="12" width="11.85546875" bestFit="1" customWidth="1"/>
    <col min="13" max="13" width="17" bestFit="1" customWidth="1"/>
    <col min="14" max="14" width="12" bestFit="1" customWidth="1"/>
    <col min="15" max="15" width="16.85546875" bestFit="1" customWidth="1"/>
  </cols>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s="1">
        <v>45558</v>
      </c>
      <c r="B2">
        <v>39</v>
      </c>
      <c r="C2" s="2" t="s">
        <v>15</v>
      </c>
      <c r="D2" s="2" t="s">
        <v>16</v>
      </c>
      <c r="E2" s="2" t="s">
        <v>17</v>
      </c>
      <c r="F2" s="2" t="s">
        <v>18</v>
      </c>
      <c r="G2" s="2" t="s">
        <v>19</v>
      </c>
      <c r="H2" s="2" t="s">
        <v>20</v>
      </c>
      <c r="I2" s="2" t="s">
        <v>21</v>
      </c>
      <c r="J2" s="2" t="s">
        <v>22</v>
      </c>
      <c r="K2">
        <v>9800</v>
      </c>
      <c r="L2">
        <v>9560</v>
      </c>
      <c r="M2">
        <v>320</v>
      </c>
      <c r="N2">
        <v>14700</v>
      </c>
      <c r="O2">
        <v>84</v>
      </c>
    </row>
    <row r="3" spans="1:15" x14ac:dyDescent="0.25">
      <c r="A3" s="1">
        <v>45565</v>
      </c>
      <c r="B3">
        <v>40</v>
      </c>
      <c r="C3" s="2" t="s">
        <v>15</v>
      </c>
      <c r="D3" s="2" t="s">
        <v>16</v>
      </c>
      <c r="E3" s="2" t="s">
        <v>23</v>
      </c>
      <c r="F3" s="2" t="s">
        <v>18</v>
      </c>
      <c r="G3" s="2" t="s">
        <v>19</v>
      </c>
      <c r="H3" s="2" t="s">
        <v>20</v>
      </c>
      <c r="I3" s="2" t="s">
        <v>24</v>
      </c>
      <c r="J3" s="2" t="s">
        <v>25</v>
      </c>
      <c r="K3">
        <v>9200</v>
      </c>
      <c r="L3">
        <v>9117</v>
      </c>
      <c r="M3">
        <v>718</v>
      </c>
      <c r="N3">
        <v>13200</v>
      </c>
      <c r="O3">
        <v>79</v>
      </c>
    </row>
    <row r="4" spans="1:15" x14ac:dyDescent="0.25">
      <c r="A4" s="1">
        <v>45572</v>
      </c>
      <c r="B4">
        <v>41</v>
      </c>
      <c r="C4" s="2" t="s">
        <v>26</v>
      </c>
      <c r="D4" s="2" t="s">
        <v>27</v>
      </c>
      <c r="E4" s="2" t="s">
        <v>28</v>
      </c>
      <c r="F4" s="2" t="s">
        <v>18</v>
      </c>
      <c r="G4" s="2" t="s">
        <v>29</v>
      </c>
      <c r="H4" s="2" t="s">
        <v>30</v>
      </c>
      <c r="I4" s="2" t="s">
        <v>31</v>
      </c>
      <c r="J4" s="2" t="s">
        <v>32</v>
      </c>
      <c r="K4">
        <v>10200</v>
      </c>
      <c r="L4">
        <v>10220</v>
      </c>
      <c r="M4">
        <v>367</v>
      </c>
      <c r="N4">
        <v>15400</v>
      </c>
      <c r="O4">
        <v>88</v>
      </c>
    </row>
    <row r="5" spans="1:15" x14ac:dyDescent="0.25">
      <c r="A5" s="1">
        <v>45579</v>
      </c>
      <c r="B5">
        <v>42</v>
      </c>
      <c r="C5" s="2" t="s">
        <v>26</v>
      </c>
      <c r="D5" s="2" t="s">
        <v>27</v>
      </c>
      <c r="E5" s="2" t="s">
        <v>33</v>
      </c>
      <c r="F5" s="2" t="s">
        <v>18</v>
      </c>
      <c r="G5" s="2" t="s">
        <v>19</v>
      </c>
      <c r="H5" s="2" t="s">
        <v>30</v>
      </c>
      <c r="I5" s="2" t="s">
        <v>34</v>
      </c>
      <c r="J5" s="2" t="s">
        <v>35</v>
      </c>
      <c r="K5">
        <v>9800</v>
      </c>
      <c r="L5">
        <v>8781</v>
      </c>
      <c r="M5">
        <v>343</v>
      </c>
      <c r="N5">
        <v>12100</v>
      </c>
      <c r="O5">
        <v>72</v>
      </c>
    </row>
    <row r="6" spans="1:15" x14ac:dyDescent="0.25">
      <c r="A6" s="1">
        <v>45586</v>
      </c>
      <c r="B6">
        <v>43</v>
      </c>
      <c r="C6" s="2" t="s">
        <v>26</v>
      </c>
      <c r="D6" s="2" t="s">
        <v>36</v>
      </c>
      <c r="E6" s="2" t="s">
        <v>37</v>
      </c>
      <c r="F6" s="2" t="s">
        <v>38</v>
      </c>
      <c r="G6" s="2" t="s">
        <v>29</v>
      </c>
      <c r="H6" s="2" t="s">
        <v>20</v>
      </c>
      <c r="I6" s="2" t="s">
        <v>39</v>
      </c>
      <c r="J6" s="2" t="s">
        <v>40</v>
      </c>
      <c r="K6">
        <v>9600</v>
      </c>
      <c r="L6">
        <v>9149</v>
      </c>
      <c r="M6">
        <v>1363</v>
      </c>
      <c r="N6">
        <v>13600</v>
      </c>
      <c r="O6">
        <v>74</v>
      </c>
    </row>
    <row r="7" spans="1:15" x14ac:dyDescent="0.25">
      <c r="A7" s="1">
        <v>45600</v>
      </c>
      <c r="B7">
        <v>46</v>
      </c>
      <c r="C7" s="2" t="s">
        <v>26</v>
      </c>
      <c r="D7" s="2" t="s">
        <v>36</v>
      </c>
      <c r="E7" s="2" t="s">
        <v>41</v>
      </c>
      <c r="F7" s="2" t="s">
        <v>42</v>
      </c>
      <c r="G7" s="2" t="s">
        <v>19</v>
      </c>
      <c r="H7" s="2" t="s">
        <v>30</v>
      </c>
      <c r="I7" s="2" t="s">
        <v>43</v>
      </c>
      <c r="J7" s="2" t="s">
        <v>44</v>
      </c>
      <c r="K7">
        <v>10800</v>
      </c>
      <c r="L7">
        <v>10390</v>
      </c>
      <c r="M7">
        <v>540</v>
      </c>
      <c r="N7">
        <v>15900</v>
      </c>
      <c r="O7">
        <v>81</v>
      </c>
    </row>
    <row r="8" spans="1:15" x14ac:dyDescent="0.25">
      <c r="A8" s="1">
        <v>45607</v>
      </c>
      <c r="B8">
        <v>47</v>
      </c>
      <c r="C8" s="2" t="s">
        <v>26</v>
      </c>
      <c r="D8" s="2" t="s">
        <v>45</v>
      </c>
      <c r="E8" s="2" t="s">
        <v>46</v>
      </c>
      <c r="F8" s="2" t="s">
        <v>42</v>
      </c>
      <c r="G8" s="2" t="s">
        <v>29</v>
      </c>
      <c r="H8" s="2" t="s">
        <v>20</v>
      </c>
      <c r="I8" s="2" t="s">
        <v>47</v>
      </c>
      <c r="J8" s="2" t="s">
        <v>48</v>
      </c>
      <c r="K8">
        <v>9900</v>
      </c>
      <c r="L8">
        <v>9642</v>
      </c>
      <c r="M8">
        <v>901</v>
      </c>
      <c r="N8">
        <v>14600</v>
      </c>
      <c r="O8">
        <v>78</v>
      </c>
    </row>
    <row r="9" spans="1:15" x14ac:dyDescent="0.25">
      <c r="A9" s="1">
        <v>45614</v>
      </c>
      <c r="B9">
        <v>48</v>
      </c>
      <c r="C9" s="2" t="s">
        <v>26</v>
      </c>
      <c r="D9" s="2" t="s">
        <v>45</v>
      </c>
      <c r="E9" s="2" t="s">
        <v>49</v>
      </c>
      <c r="F9" s="2" t="s">
        <v>42</v>
      </c>
      <c r="G9" s="2" t="s">
        <v>19</v>
      </c>
      <c r="H9" s="2" t="s">
        <v>30</v>
      </c>
      <c r="I9" s="2" t="s">
        <v>50</v>
      </c>
      <c r="J9" s="2" t="s">
        <v>51</v>
      </c>
      <c r="K9">
        <v>9700</v>
      </c>
      <c r="L9">
        <v>9640</v>
      </c>
      <c r="M9">
        <v>737</v>
      </c>
      <c r="N9">
        <v>14300</v>
      </c>
      <c r="O9">
        <v>80</v>
      </c>
    </row>
    <row r="10" spans="1:15" x14ac:dyDescent="0.25">
      <c r="A10" s="1">
        <v>45628</v>
      </c>
      <c r="B10">
        <v>49</v>
      </c>
      <c r="C10" s="2" t="s">
        <v>26</v>
      </c>
      <c r="D10" s="2" t="s">
        <v>16</v>
      </c>
      <c r="E10" s="2" t="s">
        <v>52</v>
      </c>
      <c r="F10" s="2" t="s">
        <v>38</v>
      </c>
      <c r="G10" s="2" t="s">
        <v>29</v>
      </c>
      <c r="H10" s="2" t="s">
        <v>20</v>
      </c>
      <c r="I10" s="2" t="s">
        <v>53</v>
      </c>
      <c r="J10" s="2" t="s">
        <v>54</v>
      </c>
      <c r="K10">
        <v>9400</v>
      </c>
      <c r="L10">
        <v>8845</v>
      </c>
      <c r="M10">
        <v>752</v>
      </c>
      <c r="N10">
        <v>12700</v>
      </c>
      <c r="O10">
        <v>69</v>
      </c>
    </row>
    <row r="11" spans="1:15" x14ac:dyDescent="0.25">
      <c r="A11" s="1">
        <v>45642</v>
      </c>
      <c r="B11">
        <v>50</v>
      </c>
      <c r="C11" s="2" t="s">
        <v>26</v>
      </c>
      <c r="D11" s="2" t="s">
        <v>16</v>
      </c>
      <c r="E11" s="2" t="s">
        <v>55</v>
      </c>
      <c r="F11" s="2" t="s">
        <v>38</v>
      </c>
      <c r="G11" s="2" t="s">
        <v>19</v>
      </c>
      <c r="H11" s="2" t="s">
        <v>30</v>
      </c>
      <c r="I11" s="2" t="s">
        <v>56</v>
      </c>
      <c r="J11" s="2" t="s">
        <v>57</v>
      </c>
      <c r="K11">
        <v>9300</v>
      </c>
      <c r="L11">
        <v>9260</v>
      </c>
      <c r="M11">
        <v>539</v>
      </c>
      <c r="N11">
        <v>12200</v>
      </c>
      <c r="O11">
        <v>76</v>
      </c>
    </row>
    <row r="12" spans="1:15" x14ac:dyDescent="0.25">
      <c r="A12" s="1">
        <v>45663</v>
      </c>
      <c r="B12">
        <v>1</v>
      </c>
      <c r="C12" s="2" t="s">
        <v>58</v>
      </c>
      <c r="D12" s="2" t="s">
        <v>27</v>
      </c>
      <c r="E12" s="2" t="s">
        <v>59</v>
      </c>
      <c r="F12" s="2" t="s">
        <v>42</v>
      </c>
      <c r="G12" s="2" t="s">
        <v>19</v>
      </c>
      <c r="H12" s="2" t="s">
        <v>20</v>
      </c>
      <c r="I12" s="2" t="s">
        <v>43</v>
      </c>
      <c r="J12" s="2" t="s">
        <v>60</v>
      </c>
      <c r="K12">
        <v>10500</v>
      </c>
      <c r="L12">
        <v>10479</v>
      </c>
      <c r="M12">
        <v>609</v>
      </c>
      <c r="N12">
        <v>16800</v>
      </c>
      <c r="O12">
        <v>87</v>
      </c>
    </row>
    <row r="13" spans="1:15" x14ac:dyDescent="0.25">
      <c r="A13" s="1">
        <v>45670</v>
      </c>
      <c r="B13">
        <v>2</v>
      </c>
      <c r="C13" s="2" t="s">
        <v>58</v>
      </c>
      <c r="D13" s="2" t="s">
        <v>27</v>
      </c>
      <c r="E13" s="2" t="s">
        <v>17</v>
      </c>
      <c r="F13" s="2" t="s">
        <v>18</v>
      </c>
      <c r="G13" s="2" t="s">
        <v>29</v>
      </c>
      <c r="H13" s="2" t="s">
        <v>30</v>
      </c>
      <c r="I13" s="2" t="s">
        <v>21</v>
      </c>
      <c r="J13" s="2" t="s">
        <v>61</v>
      </c>
      <c r="K13">
        <v>10100</v>
      </c>
      <c r="L13">
        <v>10090</v>
      </c>
      <c r="M13">
        <v>344</v>
      </c>
      <c r="N13">
        <v>15000</v>
      </c>
      <c r="O13">
        <v>85</v>
      </c>
    </row>
    <row r="14" spans="1:15" x14ac:dyDescent="0.25">
      <c r="A14" s="1">
        <v>45677</v>
      </c>
      <c r="B14">
        <v>3</v>
      </c>
      <c r="C14" s="2" t="s">
        <v>58</v>
      </c>
      <c r="D14" s="2" t="s">
        <v>36</v>
      </c>
      <c r="E14" s="2" t="s">
        <v>23</v>
      </c>
      <c r="F14" s="2" t="s">
        <v>18</v>
      </c>
      <c r="G14" s="2" t="s">
        <v>19</v>
      </c>
      <c r="H14" s="2" t="s">
        <v>20</v>
      </c>
      <c r="I14" s="2" t="s">
        <v>24</v>
      </c>
      <c r="J14" s="2" t="s">
        <v>62</v>
      </c>
      <c r="K14">
        <v>8900</v>
      </c>
      <c r="L14">
        <v>8882</v>
      </c>
      <c r="M14">
        <v>507</v>
      </c>
      <c r="N14">
        <v>12800</v>
      </c>
      <c r="O14">
        <v>77</v>
      </c>
    </row>
    <row r="15" spans="1:15" x14ac:dyDescent="0.25">
      <c r="A15" s="1">
        <v>45684</v>
      </c>
      <c r="B15">
        <v>4</v>
      </c>
      <c r="C15" s="2" t="s">
        <v>58</v>
      </c>
      <c r="D15" s="2" t="s">
        <v>36</v>
      </c>
      <c r="E15" s="2" t="s">
        <v>28</v>
      </c>
      <c r="F15" s="2" t="s">
        <v>18</v>
      </c>
      <c r="G15" s="2" t="s">
        <v>19</v>
      </c>
      <c r="H15" s="2" t="s">
        <v>20</v>
      </c>
      <c r="I15" s="2" t="s">
        <v>31</v>
      </c>
      <c r="J15" s="2" t="s">
        <v>63</v>
      </c>
      <c r="K15">
        <v>9800</v>
      </c>
      <c r="L15">
        <v>9908</v>
      </c>
      <c r="M15">
        <v>568</v>
      </c>
      <c r="N15">
        <v>15100</v>
      </c>
      <c r="O15">
        <v>86</v>
      </c>
    </row>
    <row r="16" spans="1:15" x14ac:dyDescent="0.25">
      <c r="A16" s="1">
        <v>45691</v>
      </c>
      <c r="B16">
        <v>5</v>
      </c>
      <c r="C16" s="2" t="s">
        <v>58</v>
      </c>
      <c r="D16" s="2" t="s">
        <v>45</v>
      </c>
      <c r="E16" s="2" t="s">
        <v>33</v>
      </c>
      <c r="F16" s="2" t="s">
        <v>18</v>
      </c>
      <c r="G16" s="2" t="s">
        <v>29</v>
      </c>
      <c r="H16" s="2" t="s">
        <v>30</v>
      </c>
      <c r="I16" s="2" t="s">
        <v>34</v>
      </c>
      <c r="J16" s="2" t="s">
        <v>64</v>
      </c>
      <c r="K16">
        <v>9600</v>
      </c>
      <c r="L16">
        <v>9136</v>
      </c>
      <c r="M16">
        <v>336</v>
      </c>
      <c r="N16">
        <v>12900</v>
      </c>
      <c r="O16">
        <v>75</v>
      </c>
    </row>
    <row r="17" spans="1:15" x14ac:dyDescent="0.25">
      <c r="A17" s="1">
        <v>45698</v>
      </c>
      <c r="B17">
        <v>6</v>
      </c>
      <c r="C17" s="2" t="s">
        <v>58</v>
      </c>
      <c r="D17" s="2" t="s">
        <v>45</v>
      </c>
      <c r="E17" s="2" t="s">
        <v>37</v>
      </c>
      <c r="F17" s="2" t="s">
        <v>38</v>
      </c>
      <c r="G17" s="2" t="s">
        <v>19</v>
      </c>
      <c r="H17" s="2" t="s">
        <v>20</v>
      </c>
      <c r="I17" s="2" t="s">
        <v>39</v>
      </c>
      <c r="J17" s="2" t="s">
        <v>65</v>
      </c>
      <c r="K17">
        <v>10200</v>
      </c>
      <c r="L17">
        <v>9744</v>
      </c>
      <c r="M17">
        <v>592</v>
      </c>
      <c r="N17">
        <v>14800</v>
      </c>
      <c r="O17">
        <v>82</v>
      </c>
    </row>
    <row r="18" spans="1:15" x14ac:dyDescent="0.25">
      <c r="A18" s="1">
        <v>45705</v>
      </c>
      <c r="B18">
        <v>7</v>
      </c>
      <c r="C18" s="2" t="s">
        <v>58</v>
      </c>
      <c r="D18" s="2" t="s">
        <v>16</v>
      </c>
      <c r="E18" s="2" t="s">
        <v>41</v>
      </c>
      <c r="F18" s="2" t="s">
        <v>42</v>
      </c>
      <c r="G18" s="2" t="s">
        <v>29</v>
      </c>
      <c r="H18" s="2" t="s">
        <v>30</v>
      </c>
      <c r="I18" s="2" t="s">
        <v>43</v>
      </c>
      <c r="J18" s="2" t="s">
        <v>66</v>
      </c>
      <c r="K18">
        <v>9400</v>
      </c>
      <c r="L18">
        <v>9033</v>
      </c>
      <c r="M18">
        <v>855</v>
      </c>
      <c r="N18">
        <v>13800</v>
      </c>
      <c r="O18">
        <v>71</v>
      </c>
    </row>
    <row r="19" spans="1:15" x14ac:dyDescent="0.25">
      <c r="A19" s="1">
        <v>45712</v>
      </c>
      <c r="B19">
        <v>8</v>
      </c>
      <c r="C19" s="2" t="s">
        <v>58</v>
      </c>
      <c r="D19" s="2" t="s">
        <v>16</v>
      </c>
      <c r="E19" s="2" t="s">
        <v>46</v>
      </c>
      <c r="F19" s="2" t="s">
        <v>42</v>
      </c>
      <c r="G19" s="2" t="s">
        <v>19</v>
      </c>
      <c r="H19" s="2" t="s">
        <v>20</v>
      </c>
      <c r="I19" s="2" t="s">
        <v>47</v>
      </c>
      <c r="J19" s="2" t="s">
        <v>67</v>
      </c>
      <c r="K19">
        <v>9800</v>
      </c>
      <c r="L19">
        <v>9420</v>
      </c>
      <c r="M19">
        <v>720</v>
      </c>
      <c r="N19">
        <v>14200</v>
      </c>
      <c r="O19">
        <v>76</v>
      </c>
    </row>
    <row r="20" spans="1:15" x14ac:dyDescent="0.25">
      <c r="A20" s="1">
        <v>45719</v>
      </c>
      <c r="B20">
        <v>9</v>
      </c>
      <c r="C20" s="2" t="s">
        <v>58</v>
      </c>
      <c r="D20" s="2" t="s">
        <v>27</v>
      </c>
      <c r="E20" s="2" t="s">
        <v>49</v>
      </c>
      <c r="F20" s="2" t="s">
        <v>42</v>
      </c>
      <c r="G20" s="2" t="s">
        <v>29</v>
      </c>
      <c r="H20" s="2" t="s">
        <v>30</v>
      </c>
      <c r="I20" s="2" t="s">
        <v>50</v>
      </c>
      <c r="J20" s="2" t="s">
        <v>68</v>
      </c>
      <c r="K20">
        <v>10100</v>
      </c>
      <c r="L20">
        <v>9898</v>
      </c>
      <c r="M20">
        <v>660</v>
      </c>
      <c r="N20">
        <v>15100</v>
      </c>
      <c r="O20">
        <v>83</v>
      </c>
    </row>
    <row r="21" spans="1:15" x14ac:dyDescent="0.25">
      <c r="A21" s="1">
        <v>45726</v>
      </c>
      <c r="B21">
        <v>10</v>
      </c>
      <c r="C21" s="2" t="s">
        <v>58</v>
      </c>
      <c r="D21" s="2" t="s">
        <v>27</v>
      </c>
      <c r="E21" s="2" t="s">
        <v>52</v>
      </c>
      <c r="F21" s="2" t="s">
        <v>38</v>
      </c>
      <c r="G21" s="2" t="s">
        <v>19</v>
      </c>
      <c r="H21" s="2" t="s">
        <v>20</v>
      </c>
      <c r="I21" s="2" t="s">
        <v>53</v>
      </c>
      <c r="J21" s="2" t="s">
        <v>69</v>
      </c>
      <c r="K21">
        <v>9200</v>
      </c>
      <c r="L21">
        <v>8740</v>
      </c>
      <c r="M21">
        <v>837</v>
      </c>
      <c r="N21">
        <v>12600</v>
      </c>
      <c r="O21">
        <v>70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C219A-4623-4695-96ED-7CB37C157FA7}">
  <dimension ref="A1:Q21"/>
  <sheetViews>
    <sheetView workbookViewId="0">
      <selection activeCell="Q2" sqref="Q2"/>
    </sheetView>
  </sheetViews>
  <sheetFormatPr defaultRowHeight="15" x14ac:dyDescent="0.25"/>
  <cols>
    <col min="1" max="1" width="10.7109375" bestFit="1" customWidth="1"/>
    <col min="2" max="2" width="8.5703125" bestFit="1" customWidth="1"/>
    <col min="3" max="3" width="10.140625" bestFit="1" customWidth="1"/>
    <col min="4" max="4" width="20.5703125" bestFit="1" customWidth="1"/>
    <col min="5" max="5" width="15.7109375" bestFit="1" customWidth="1"/>
    <col min="6" max="6" width="15.140625" bestFit="1" customWidth="1"/>
    <col min="7" max="7" width="8.5703125" bestFit="1" customWidth="1"/>
    <col min="8" max="8" width="10.140625" bestFit="1" customWidth="1"/>
    <col min="9" max="9" width="12.5703125" bestFit="1" customWidth="1"/>
    <col min="10" max="10" width="7" bestFit="1" customWidth="1"/>
    <col min="11" max="11" width="14.28515625" bestFit="1" customWidth="1"/>
    <col min="12" max="12" width="11.85546875" bestFit="1" customWidth="1"/>
    <col min="13" max="13" width="17" bestFit="1" customWidth="1"/>
    <col min="14" max="14" width="12" bestFit="1" customWidth="1"/>
    <col min="15" max="15" width="16.85546875" bestFit="1" customWidth="1"/>
    <col min="16" max="16" width="16.28515625" bestFit="1" customWidth="1"/>
    <col min="17" max="17" width="19.140625" bestFit="1"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79</v>
      </c>
      <c r="Q1" t="s">
        <v>80</v>
      </c>
    </row>
    <row r="2" spans="1:17" x14ac:dyDescent="0.25">
      <c r="A2" s="1">
        <v>45558</v>
      </c>
      <c r="B2">
        <v>39</v>
      </c>
      <c r="C2" s="2" t="s">
        <v>15</v>
      </c>
      <c r="D2" s="2" t="s">
        <v>16</v>
      </c>
      <c r="E2" s="2" t="s">
        <v>17</v>
      </c>
      <c r="F2" s="2" t="s">
        <v>18</v>
      </c>
      <c r="G2" s="2" t="s">
        <v>19</v>
      </c>
      <c r="H2" s="2" t="s">
        <v>20</v>
      </c>
      <c r="I2" s="2" t="s">
        <v>21</v>
      </c>
      <c r="J2" s="2" t="s">
        <v>22</v>
      </c>
      <c r="K2">
        <v>9800</v>
      </c>
      <c r="L2">
        <v>9560</v>
      </c>
      <c r="M2">
        <v>320</v>
      </c>
      <c r="N2" s="3">
        <v>14700</v>
      </c>
      <c r="O2">
        <v>84</v>
      </c>
      <c r="P2" s="7">
        <f>supply_chain_dashboard_raw_data3[[#This Row],[Filled Qty]]/supply_chain_dashboard_raw_data3[[#This Row],[Ordered Qty]]</f>
        <v>0.97551020408163269</v>
      </c>
      <c r="Q2" s="7">
        <f>supply_chain_dashboard_raw_data3[[#This Row],[Unsaleable Qty]]/supply_chain_dashboard_raw_data3[[#This Row],[Ordered Qty]]</f>
        <v>3.2653061224489799E-2</v>
      </c>
    </row>
    <row r="3" spans="1:17" x14ac:dyDescent="0.25">
      <c r="A3" s="1">
        <v>45565</v>
      </c>
      <c r="B3">
        <v>40</v>
      </c>
      <c r="C3" s="2" t="s">
        <v>15</v>
      </c>
      <c r="D3" s="2" t="s">
        <v>16</v>
      </c>
      <c r="E3" s="2" t="s">
        <v>23</v>
      </c>
      <c r="F3" s="2" t="s">
        <v>18</v>
      </c>
      <c r="G3" s="2" t="s">
        <v>19</v>
      </c>
      <c r="H3" s="2" t="s">
        <v>20</v>
      </c>
      <c r="I3" s="2" t="s">
        <v>24</v>
      </c>
      <c r="J3" s="2" t="s">
        <v>25</v>
      </c>
      <c r="K3">
        <v>9200</v>
      </c>
      <c r="L3">
        <v>9117</v>
      </c>
      <c r="M3">
        <v>718</v>
      </c>
      <c r="N3" s="3">
        <v>13200</v>
      </c>
      <c r="O3">
        <v>79</v>
      </c>
      <c r="P3" s="7">
        <f>supply_chain_dashboard_raw_data3[[#This Row],[Filled Qty]]/supply_chain_dashboard_raw_data3[[#This Row],[Ordered Qty]]</f>
        <v>0.9909782608695652</v>
      </c>
      <c r="Q3" s="7">
        <f>supply_chain_dashboard_raw_data3[[#This Row],[Unsaleable Qty]]/supply_chain_dashboard_raw_data3[[#This Row],[Ordered Qty]]</f>
        <v>7.8043478260869562E-2</v>
      </c>
    </row>
    <row r="4" spans="1:17" x14ac:dyDescent="0.25">
      <c r="A4" s="1">
        <v>45572</v>
      </c>
      <c r="B4">
        <v>41</v>
      </c>
      <c r="C4" s="2" t="s">
        <v>26</v>
      </c>
      <c r="D4" s="2" t="s">
        <v>27</v>
      </c>
      <c r="E4" s="2" t="s">
        <v>28</v>
      </c>
      <c r="F4" s="2" t="s">
        <v>18</v>
      </c>
      <c r="G4" s="2" t="s">
        <v>29</v>
      </c>
      <c r="H4" s="2" t="s">
        <v>30</v>
      </c>
      <c r="I4" s="2" t="s">
        <v>31</v>
      </c>
      <c r="J4" s="2" t="s">
        <v>32</v>
      </c>
      <c r="K4">
        <v>10200</v>
      </c>
      <c r="L4">
        <v>10220</v>
      </c>
      <c r="M4">
        <v>367</v>
      </c>
      <c r="N4" s="3">
        <v>15400</v>
      </c>
      <c r="O4">
        <v>88</v>
      </c>
      <c r="P4" s="7">
        <f>supply_chain_dashboard_raw_data3[[#This Row],[Filled Qty]]/supply_chain_dashboard_raw_data3[[#This Row],[Ordered Qty]]</f>
        <v>1.0019607843137255</v>
      </c>
      <c r="Q4" s="7">
        <f>supply_chain_dashboard_raw_data3[[#This Row],[Unsaleable Qty]]/supply_chain_dashboard_raw_data3[[#This Row],[Ordered Qty]]</f>
        <v>3.5980392156862745E-2</v>
      </c>
    </row>
    <row r="5" spans="1:17" x14ac:dyDescent="0.25">
      <c r="A5" s="1">
        <v>45579</v>
      </c>
      <c r="B5">
        <v>42</v>
      </c>
      <c r="C5" s="2" t="s">
        <v>26</v>
      </c>
      <c r="D5" s="2" t="s">
        <v>27</v>
      </c>
      <c r="E5" s="2" t="s">
        <v>33</v>
      </c>
      <c r="F5" s="2" t="s">
        <v>18</v>
      </c>
      <c r="G5" s="2" t="s">
        <v>19</v>
      </c>
      <c r="H5" s="2" t="s">
        <v>30</v>
      </c>
      <c r="I5" s="2" t="s">
        <v>34</v>
      </c>
      <c r="J5" s="2" t="s">
        <v>35</v>
      </c>
      <c r="K5">
        <v>9800</v>
      </c>
      <c r="L5">
        <v>8781</v>
      </c>
      <c r="M5">
        <v>343</v>
      </c>
      <c r="N5" s="3">
        <v>12100</v>
      </c>
      <c r="O5">
        <v>72</v>
      </c>
      <c r="P5" s="7">
        <f>supply_chain_dashboard_raw_data3[[#This Row],[Filled Qty]]/supply_chain_dashboard_raw_data3[[#This Row],[Ordered Qty]]</f>
        <v>0.89602040816326534</v>
      </c>
      <c r="Q5" s="7">
        <f>supply_chain_dashboard_raw_data3[[#This Row],[Unsaleable Qty]]/supply_chain_dashboard_raw_data3[[#This Row],[Ordered Qty]]</f>
        <v>3.5000000000000003E-2</v>
      </c>
    </row>
    <row r="6" spans="1:17" x14ac:dyDescent="0.25">
      <c r="A6" s="1">
        <v>45586</v>
      </c>
      <c r="B6">
        <v>43</v>
      </c>
      <c r="C6" s="2" t="s">
        <v>26</v>
      </c>
      <c r="D6" s="2" t="s">
        <v>36</v>
      </c>
      <c r="E6" s="2" t="s">
        <v>37</v>
      </c>
      <c r="F6" s="2" t="s">
        <v>38</v>
      </c>
      <c r="G6" s="2" t="s">
        <v>29</v>
      </c>
      <c r="H6" s="2" t="s">
        <v>20</v>
      </c>
      <c r="I6" s="2" t="s">
        <v>39</v>
      </c>
      <c r="J6" s="2" t="s">
        <v>40</v>
      </c>
      <c r="K6">
        <v>9600</v>
      </c>
      <c r="L6">
        <v>9149</v>
      </c>
      <c r="M6">
        <v>1363</v>
      </c>
      <c r="N6" s="3">
        <v>13600</v>
      </c>
      <c r="O6">
        <v>74</v>
      </c>
      <c r="P6" s="7">
        <f>supply_chain_dashboard_raw_data3[[#This Row],[Filled Qty]]/supply_chain_dashboard_raw_data3[[#This Row],[Ordered Qty]]</f>
        <v>0.95302083333333332</v>
      </c>
      <c r="Q6" s="7">
        <f>supply_chain_dashboard_raw_data3[[#This Row],[Unsaleable Qty]]/supply_chain_dashboard_raw_data3[[#This Row],[Ordered Qty]]</f>
        <v>0.14197916666666666</v>
      </c>
    </row>
    <row r="7" spans="1:17" x14ac:dyDescent="0.25">
      <c r="A7" s="1">
        <v>45600</v>
      </c>
      <c r="B7">
        <v>46</v>
      </c>
      <c r="C7" s="2" t="s">
        <v>26</v>
      </c>
      <c r="D7" s="2" t="s">
        <v>36</v>
      </c>
      <c r="E7" s="2" t="s">
        <v>41</v>
      </c>
      <c r="F7" s="2" t="s">
        <v>42</v>
      </c>
      <c r="G7" s="2" t="s">
        <v>19</v>
      </c>
      <c r="H7" s="2" t="s">
        <v>30</v>
      </c>
      <c r="I7" s="2" t="s">
        <v>43</v>
      </c>
      <c r="J7" s="2" t="s">
        <v>44</v>
      </c>
      <c r="K7">
        <v>10800</v>
      </c>
      <c r="L7">
        <v>10390</v>
      </c>
      <c r="M7">
        <v>540</v>
      </c>
      <c r="N7" s="3">
        <v>15900</v>
      </c>
      <c r="O7">
        <v>81</v>
      </c>
      <c r="P7" s="7">
        <f>supply_chain_dashboard_raw_data3[[#This Row],[Filled Qty]]/supply_chain_dashboard_raw_data3[[#This Row],[Ordered Qty]]</f>
        <v>0.96203703703703702</v>
      </c>
      <c r="Q7" s="7">
        <f>supply_chain_dashboard_raw_data3[[#This Row],[Unsaleable Qty]]/supply_chain_dashboard_raw_data3[[#This Row],[Ordered Qty]]</f>
        <v>0.05</v>
      </c>
    </row>
    <row r="8" spans="1:17" x14ac:dyDescent="0.25">
      <c r="A8" s="1">
        <v>45607</v>
      </c>
      <c r="B8">
        <v>47</v>
      </c>
      <c r="C8" s="2" t="s">
        <v>26</v>
      </c>
      <c r="D8" s="2" t="s">
        <v>45</v>
      </c>
      <c r="E8" s="2" t="s">
        <v>46</v>
      </c>
      <c r="F8" s="2" t="s">
        <v>42</v>
      </c>
      <c r="G8" s="2" t="s">
        <v>29</v>
      </c>
      <c r="H8" s="2" t="s">
        <v>20</v>
      </c>
      <c r="I8" s="2" t="s">
        <v>47</v>
      </c>
      <c r="J8" s="2" t="s">
        <v>48</v>
      </c>
      <c r="K8">
        <v>9900</v>
      </c>
      <c r="L8">
        <v>9642</v>
      </c>
      <c r="M8">
        <v>901</v>
      </c>
      <c r="N8" s="3">
        <v>14600</v>
      </c>
      <c r="O8">
        <v>78</v>
      </c>
      <c r="P8" s="7">
        <f>supply_chain_dashboard_raw_data3[[#This Row],[Filled Qty]]/supply_chain_dashboard_raw_data3[[#This Row],[Ordered Qty]]</f>
        <v>0.97393939393939399</v>
      </c>
      <c r="Q8" s="7">
        <f>supply_chain_dashboard_raw_data3[[#This Row],[Unsaleable Qty]]/supply_chain_dashboard_raw_data3[[#This Row],[Ordered Qty]]</f>
        <v>9.1010101010101013E-2</v>
      </c>
    </row>
    <row r="9" spans="1:17" x14ac:dyDescent="0.25">
      <c r="A9" s="1">
        <v>45614</v>
      </c>
      <c r="B9">
        <v>48</v>
      </c>
      <c r="C9" s="2" t="s">
        <v>26</v>
      </c>
      <c r="D9" s="2" t="s">
        <v>45</v>
      </c>
      <c r="E9" s="2" t="s">
        <v>49</v>
      </c>
      <c r="F9" s="2" t="s">
        <v>42</v>
      </c>
      <c r="G9" s="2" t="s">
        <v>19</v>
      </c>
      <c r="H9" s="2" t="s">
        <v>30</v>
      </c>
      <c r="I9" s="2" t="s">
        <v>50</v>
      </c>
      <c r="J9" s="2" t="s">
        <v>51</v>
      </c>
      <c r="K9">
        <v>9700</v>
      </c>
      <c r="L9">
        <v>9640</v>
      </c>
      <c r="M9">
        <v>737</v>
      </c>
      <c r="N9" s="3">
        <v>14300</v>
      </c>
      <c r="O9">
        <v>80</v>
      </c>
      <c r="P9" s="7">
        <f>supply_chain_dashboard_raw_data3[[#This Row],[Filled Qty]]/supply_chain_dashboard_raw_data3[[#This Row],[Ordered Qty]]</f>
        <v>0.99381443298969074</v>
      </c>
      <c r="Q9" s="7">
        <f>supply_chain_dashboard_raw_data3[[#This Row],[Unsaleable Qty]]/supply_chain_dashboard_raw_data3[[#This Row],[Ordered Qty]]</f>
        <v>7.5979381443298966E-2</v>
      </c>
    </row>
    <row r="10" spans="1:17" x14ac:dyDescent="0.25">
      <c r="A10" s="1">
        <v>45628</v>
      </c>
      <c r="B10">
        <v>49</v>
      </c>
      <c r="C10" s="2" t="s">
        <v>26</v>
      </c>
      <c r="D10" s="2" t="s">
        <v>16</v>
      </c>
      <c r="E10" s="2" t="s">
        <v>52</v>
      </c>
      <c r="F10" s="2" t="s">
        <v>38</v>
      </c>
      <c r="G10" s="2" t="s">
        <v>29</v>
      </c>
      <c r="H10" s="2" t="s">
        <v>20</v>
      </c>
      <c r="I10" s="2" t="s">
        <v>53</v>
      </c>
      <c r="J10" s="2" t="s">
        <v>54</v>
      </c>
      <c r="K10">
        <v>9400</v>
      </c>
      <c r="L10">
        <v>8845</v>
      </c>
      <c r="M10">
        <v>752</v>
      </c>
      <c r="N10" s="3">
        <v>12700</v>
      </c>
      <c r="O10">
        <v>69</v>
      </c>
      <c r="P10" s="7">
        <f>supply_chain_dashboard_raw_data3[[#This Row],[Filled Qty]]/supply_chain_dashboard_raw_data3[[#This Row],[Ordered Qty]]</f>
        <v>0.94095744680851068</v>
      </c>
      <c r="Q10" s="7">
        <f>supply_chain_dashboard_raw_data3[[#This Row],[Unsaleable Qty]]/supply_chain_dashboard_raw_data3[[#This Row],[Ordered Qty]]</f>
        <v>0.08</v>
      </c>
    </row>
    <row r="11" spans="1:17" x14ac:dyDescent="0.25">
      <c r="A11" s="1">
        <v>45642</v>
      </c>
      <c r="B11">
        <v>50</v>
      </c>
      <c r="C11" s="2" t="s">
        <v>26</v>
      </c>
      <c r="D11" s="2" t="s">
        <v>16</v>
      </c>
      <c r="E11" s="2" t="s">
        <v>55</v>
      </c>
      <c r="F11" s="2" t="s">
        <v>38</v>
      </c>
      <c r="G11" s="2" t="s">
        <v>19</v>
      </c>
      <c r="H11" s="2" t="s">
        <v>30</v>
      </c>
      <c r="I11" s="2" t="s">
        <v>56</v>
      </c>
      <c r="J11" s="2" t="s">
        <v>57</v>
      </c>
      <c r="K11">
        <v>9300</v>
      </c>
      <c r="L11">
        <v>9260</v>
      </c>
      <c r="M11">
        <v>539</v>
      </c>
      <c r="N11" s="3">
        <v>12200</v>
      </c>
      <c r="O11">
        <v>76</v>
      </c>
      <c r="P11" s="7">
        <f>supply_chain_dashboard_raw_data3[[#This Row],[Filled Qty]]/supply_chain_dashboard_raw_data3[[#This Row],[Ordered Qty]]</f>
        <v>0.99569892473118282</v>
      </c>
      <c r="Q11" s="7">
        <f>supply_chain_dashboard_raw_data3[[#This Row],[Unsaleable Qty]]/supply_chain_dashboard_raw_data3[[#This Row],[Ordered Qty]]</f>
        <v>5.7956989247311831E-2</v>
      </c>
    </row>
    <row r="12" spans="1:17" x14ac:dyDescent="0.25">
      <c r="A12" s="1">
        <v>45663</v>
      </c>
      <c r="B12">
        <v>1</v>
      </c>
      <c r="C12" s="2" t="s">
        <v>58</v>
      </c>
      <c r="D12" s="2" t="s">
        <v>27</v>
      </c>
      <c r="E12" s="2" t="s">
        <v>59</v>
      </c>
      <c r="F12" s="2" t="s">
        <v>42</v>
      </c>
      <c r="G12" s="2" t="s">
        <v>19</v>
      </c>
      <c r="H12" s="2" t="s">
        <v>20</v>
      </c>
      <c r="I12" s="2" t="s">
        <v>43</v>
      </c>
      <c r="J12" s="2" t="s">
        <v>60</v>
      </c>
      <c r="K12">
        <v>10500</v>
      </c>
      <c r="L12">
        <v>10479</v>
      </c>
      <c r="M12">
        <v>609</v>
      </c>
      <c r="N12" s="3">
        <v>16800</v>
      </c>
      <c r="O12">
        <v>87</v>
      </c>
      <c r="P12" s="7">
        <f>supply_chain_dashboard_raw_data3[[#This Row],[Filled Qty]]/supply_chain_dashboard_raw_data3[[#This Row],[Ordered Qty]]</f>
        <v>0.998</v>
      </c>
      <c r="Q12" s="7">
        <f>supply_chain_dashboard_raw_data3[[#This Row],[Unsaleable Qty]]/supply_chain_dashboard_raw_data3[[#This Row],[Ordered Qty]]</f>
        <v>5.8000000000000003E-2</v>
      </c>
    </row>
    <row r="13" spans="1:17" x14ac:dyDescent="0.25">
      <c r="A13" s="1">
        <v>45670</v>
      </c>
      <c r="B13">
        <v>2</v>
      </c>
      <c r="C13" s="2" t="s">
        <v>58</v>
      </c>
      <c r="D13" s="2" t="s">
        <v>27</v>
      </c>
      <c r="E13" s="2" t="s">
        <v>17</v>
      </c>
      <c r="F13" s="2" t="s">
        <v>18</v>
      </c>
      <c r="G13" s="2" t="s">
        <v>29</v>
      </c>
      <c r="H13" s="2" t="s">
        <v>30</v>
      </c>
      <c r="I13" s="2" t="s">
        <v>21</v>
      </c>
      <c r="J13" s="2" t="s">
        <v>61</v>
      </c>
      <c r="K13">
        <v>10100</v>
      </c>
      <c r="L13">
        <v>10090</v>
      </c>
      <c r="M13">
        <v>344</v>
      </c>
      <c r="N13" s="3">
        <v>15000</v>
      </c>
      <c r="O13">
        <v>85</v>
      </c>
      <c r="P13" s="7">
        <f>supply_chain_dashboard_raw_data3[[#This Row],[Filled Qty]]/supply_chain_dashboard_raw_data3[[#This Row],[Ordered Qty]]</f>
        <v>0.99900990099009901</v>
      </c>
      <c r="Q13" s="7">
        <f>supply_chain_dashboard_raw_data3[[#This Row],[Unsaleable Qty]]/supply_chain_dashboard_raw_data3[[#This Row],[Ordered Qty]]</f>
        <v>3.4059405940594062E-2</v>
      </c>
    </row>
    <row r="14" spans="1:17" x14ac:dyDescent="0.25">
      <c r="A14" s="1">
        <v>45677</v>
      </c>
      <c r="B14">
        <v>3</v>
      </c>
      <c r="C14" s="2" t="s">
        <v>58</v>
      </c>
      <c r="D14" s="2" t="s">
        <v>36</v>
      </c>
      <c r="E14" s="2" t="s">
        <v>23</v>
      </c>
      <c r="F14" s="2" t="s">
        <v>18</v>
      </c>
      <c r="G14" s="2" t="s">
        <v>19</v>
      </c>
      <c r="H14" s="2" t="s">
        <v>20</v>
      </c>
      <c r="I14" s="2" t="s">
        <v>24</v>
      </c>
      <c r="J14" s="2" t="s">
        <v>62</v>
      </c>
      <c r="K14">
        <v>8900</v>
      </c>
      <c r="L14">
        <v>8882</v>
      </c>
      <c r="M14">
        <v>507</v>
      </c>
      <c r="N14" s="3">
        <v>12800</v>
      </c>
      <c r="O14">
        <v>77</v>
      </c>
      <c r="P14" s="7">
        <f>supply_chain_dashboard_raw_data3[[#This Row],[Filled Qty]]/supply_chain_dashboard_raw_data3[[#This Row],[Ordered Qty]]</f>
        <v>0.9979775280898876</v>
      </c>
      <c r="Q14" s="7">
        <f>supply_chain_dashboard_raw_data3[[#This Row],[Unsaleable Qty]]/supply_chain_dashboard_raw_data3[[#This Row],[Ordered Qty]]</f>
        <v>5.696629213483146E-2</v>
      </c>
    </row>
    <row r="15" spans="1:17" x14ac:dyDescent="0.25">
      <c r="A15" s="1">
        <v>45684</v>
      </c>
      <c r="B15">
        <v>4</v>
      </c>
      <c r="C15" s="2" t="s">
        <v>58</v>
      </c>
      <c r="D15" s="2" t="s">
        <v>36</v>
      </c>
      <c r="E15" s="2" t="s">
        <v>28</v>
      </c>
      <c r="F15" s="2" t="s">
        <v>18</v>
      </c>
      <c r="G15" s="2" t="s">
        <v>19</v>
      </c>
      <c r="H15" s="2" t="s">
        <v>20</v>
      </c>
      <c r="I15" s="2" t="s">
        <v>31</v>
      </c>
      <c r="J15" s="2" t="s">
        <v>63</v>
      </c>
      <c r="K15">
        <v>9800</v>
      </c>
      <c r="L15">
        <v>9908</v>
      </c>
      <c r="M15">
        <v>568</v>
      </c>
      <c r="N15" s="3">
        <v>15100</v>
      </c>
      <c r="O15">
        <v>86</v>
      </c>
      <c r="P15" s="7">
        <f>supply_chain_dashboard_raw_data3[[#This Row],[Filled Qty]]/supply_chain_dashboard_raw_data3[[#This Row],[Ordered Qty]]</f>
        <v>1.0110204081632652</v>
      </c>
      <c r="Q15" s="7">
        <f>supply_chain_dashboard_raw_data3[[#This Row],[Unsaleable Qty]]/supply_chain_dashboard_raw_data3[[#This Row],[Ordered Qty]]</f>
        <v>5.7959183673469389E-2</v>
      </c>
    </row>
    <row r="16" spans="1:17" x14ac:dyDescent="0.25">
      <c r="A16" s="1">
        <v>45691</v>
      </c>
      <c r="B16">
        <v>5</v>
      </c>
      <c r="C16" s="2" t="s">
        <v>58</v>
      </c>
      <c r="D16" s="2" t="s">
        <v>45</v>
      </c>
      <c r="E16" s="2" t="s">
        <v>33</v>
      </c>
      <c r="F16" s="2" t="s">
        <v>18</v>
      </c>
      <c r="G16" s="2" t="s">
        <v>29</v>
      </c>
      <c r="H16" s="2" t="s">
        <v>30</v>
      </c>
      <c r="I16" s="2" t="s">
        <v>34</v>
      </c>
      <c r="J16" s="2" t="s">
        <v>64</v>
      </c>
      <c r="K16">
        <v>9600</v>
      </c>
      <c r="L16">
        <v>9136</v>
      </c>
      <c r="M16">
        <v>336</v>
      </c>
      <c r="N16" s="3">
        <v>12900</v>
      </c>
      <c r="O16">
        <v>75</v>
      </c>
      <c r="P16" s="7">
        <f>supply_chain_dashboard_raw_data3[[#This Row],[Filled Qty]]/supply_chain_dashboard_raw_data3[[#This Row],[Ordered Qty]]</f>
        <v>0.95166666666666666</v>
      </c>
      <c r="Q16" s="7">
        <f>supply_chain_dashboard_raw_data3[[#This Row],[Unsaleable Qty]]/supply_chain_dashboard_raw_data3[[#This Row],[Ordered Qty]]</f>
        <v>3.5000000000000003E-2</v>
      </c>
    </row>
    <row r="17" spans="1:17" x14ac:dyDescent="0.25">
      <c r="A17" s="1">
        <v>45698</v>
      </c>
      <c r="B17">
        <v>6</v>
      </c>
      <c r="C17" s="2" t="s">
        <v>58</v>
      </c>
      <c r="D17" s="2" t="s">
        <v>45</v>
      </c>
      <c r="E17" s="2" t="s">
        <v>37</v>
      </c>
      <c r="F17" s="2" t="s">
        <v>38</v>
      </c>
      <c r="G17" s="2" t="s">
        <v>19</v>
      </c>
      <c r="H17" s="2" t="s">
        <v>20</v>
      </c>
      <c r="I17" s="2" t="s">
        <v>39</v>
      </c>
      <c r="J17" s="2" t="s">
        <v>65</v>
      </c>
      <c r="K17">
        <v>10200</v>
      </c>
      <c r="L17">
        <v>9744</v>
      </c>
      <c r="M17">
        <v>592</v>
      </c>
      <c r="N17" s="3">
        <v>14800</v>
      </c>
      <c r="O17">
        <v>82</v>
      </c>
      <c r="P17" s="7">
        <f>supply_chain_dashboard_raw_data3[[#This Row],[Filled Qty]]/supply_chain_dashboard_raw_data3[[#This Row],[Ordered Qty]]</f>
        <v>0.95529411764705885</v>
      </c>
      <c r="Q17" s="7">
        <f>supply_chain_dashboard_raw_data3[[#This Row],[Unsaleable Qty]]/supply_chain_dashboard_raw_data3[[#This Row],[Ordered Qty]]</f>
        <v>5.8039215686274508E-2</v>
      </c>
    </row>
    <row r="18" spans="1:17" x14ac:dyDescent="0.25">
      <c r="A18" s="1">
        <v>45705</v>
      </c>
      <c r="B18">
        <v>7</v>
      </c>
      <c r="C18" s="2" t="s">
        <v>58</v>
      </c>
      <c r="D18" s="2" t="s">
        <v>16</v>
      </c>
      <c r="E18" s="2" t="s">
        <v>41</v>
      </c>
      <c r="F18" s="2" t="s">
        <v>42</v>
      </c>
      <c r="G18" s="2" t="s">
        <v>29</v>
      </c>
      <c r="H18" s="2" t="s">
        <v>30</v>
      </c>
      <c r="I18" s="2" t="s">
        <v>43</v>
      </c>
      <c r="J18" s="2" t="s">
        <v>66</v>
      </c>
      <c r="K18">
        <v>9400</v>
      </c>
      <c r="L18">
        <v>9033</v>
      </c>
      <c r="M18">
        <v>855</v>
      </c>
      <c r="N18" s="3">
        <v>13800</v>
      </c>
      <c r="O18">
        <v>71</v>
      </c>
      <c r="P18" s="7">
        <f>supply_chain_dashboard_raw_data3[[#This Row],[Filled Qty]]/supply_chain_dashboard_raw_data3[[#This Row],[Ordered Qty]]</f>
        <v>0.96095744680851058</v>
      </c>
      <c r="Q18" s="7">
        <f>supply_chain_dashboard_raw_data3[[#This Row],[Unsaleable Qty]]/supply_chain_dashboard_raw_data3[[#This Row],[Ordered Qty]]</f>
        <v>9.0957446808510645E-2</v>
      </c>
    </row>
    <row r="19" spans="1:17" x14ac:dyDescent="0.25">
      <c r="A19" s="1">
        <v>45712</v>
      </c>
      <c r="B19">
        <v>8</v>
      </c>
      <c r="C19" s="2" t="s">
        <v>58</v>
      </c>
      <c r="D19" s="2" t="s">
        <v>16</v>
      </c>
      <c r="E19" s="2" t="s">
        <v>46</v>
      </c>
      <c r="F19" s="2" t="s">
        <v>42</v>
      </c>
      <c r="G19" s="2" t="s">
        <v>19</v>
      </c>
      <c r="H19" s="2" t="s">
        <v>20</v>
      </c>
      <c r="I19" s="2" t="s">
        <v>47</v>
      </c>
      <c r="J19" s="2" t="s">
        <v>67</v>
      </c>
      <c r="K19">
        <v>9800</v>
      </c>
      <c r="L19">
        <v>9420</v>
      </c>
      <c r="M19">
        <v>720</v>
      </c>
      <c r="N19" s="3">
        <v>14200</v>
      </c>
      <c r="O19">
        <v>76</v>
      </c>
      <c r="P19" s="7">
        <f>supply_chain_dashboard_raw_data3[[#This Row],[Filled Qty]]/supply_chain_dashboard_raw_data3[[#This Row],[Ordered Qty]]</f>
        <v>0.96122448979591835</v>
      </c>
      <c r="Q19" s="7">
        <f>supply_chain_dashboard_raw_data3[[#This Row],[Unsaleable Qty]]/supply_chain_dashboard_raw_data3[[#This Row],[Ordered Qty]]</f>
        <v>7.3469387755102047E-2</v>
      </c>
    </row>
    <row r="20" spans="1:17" x14ac:dyDescent="0.25">
      <c r="A20" s="1">
        <v>45719</v>
      </c>
      <c r="B20">
        <v>9</v>
      </c>
      <c r="C20" s="2" t="s">
        <v>58</v>
      </c>
      <c r="D20" s="2" t="s">
        <v>27</v>
      </c>
      <c r="E20" s="2" t="s">
        <v>49</v>
      </c>
      <c r="F20" s="2" t="s">
        <v>42</v>
      </c>
      <c r="G20" s="2" t="s">
        <v>29</v>
      </c>
      <c r="H20" s="2" t="s">
        <v>30</v>
      </c>
      <c r="I20" s="2" t="s">
        <v>50</v>
      </c>
      <c r="J20" s="2" t="s">
        <v>68</v>
      </c>
      <c r="K20">
        <v>10100</v>
      </c>
      <c r="L20">
        <v>9898</v>
      </c>
      <c r="M20">
        <v>660</v>
      </c>
      <c r="N20" s="3">
        <v>15100</v>
      </c>
      <c r="O20">
        <v>83</v>
      </c>
      <c r="P20" s="7">
        <f>supply_chain_dashboard_raw_data3[[#This Row],[Filled Qty]]/supply_chain_dashboard_raw_data3[[#This Row],[Ordered Qty]]</f>
        <v>0.98</v>
      </c>
      <c r="Q20" s="7">
        <f>supply_chain_dashboard_raw_data3[[#This Row],[Unsaleable Qty]]/supply_chain_dashboard_raw_data3[[#This Row],[Ordered Qty]]</f>
        <v>6.5346534653465349E-2</v>
      </c>
    </row>
    <row r="21" spans="1:17" x14ac:dyDescent="0.25">
      <c r="A21" s="1">
        <v>45726</v>
      </c>
      <c r="B21">
        <v>10</v>
      </c>
      <c r="C21" s="2" t="s">
        <v>58</v>
      </c>
      <c r="D21" s="2" t="s">
        <v>27</v>
      </c>
      <c r="E21" s="2" t="s">
        <v>52</v>
      </c>
      <c r="F21" s="2" t="s">
        <v>38</v>
      </c>
      <c r="G21" s="2" t="s">
        <v>19</v>
      </c>
      <c r="H21" s="2" t="s">
        <v>20</v>
      </c>
      <c r="I21" s="2" t="s">
        <v>53</v>
      </c>
      <c r="J21" s="2" t="s">
        <v>69</v>
      </c>
      <c r="K21">
        <v>9200</v>
      </c>
      <c r="L21">
        <v>8740</v>
      </c>
      <c r="M21">
        <v>837</v>
      </c>
      <c r="N21" s="3">
        <v>12600</v>
      </c>
      <c r="O21">
        <v>70</v>
      </c>
      <c r="P21" s="7">
        <f>supply_chain_dashboard_raw_data3[[#This Row],[Filled Qty]]/supply_chain_dashboard_raw_data3[[#This Row],[Ordered Qty]]</f>
        <v>0.95</v>
      </c>
      <c r="Q21" s="7">
        <f>supply_chain_dashboard_raw_data3[[#This Row],[Unsaleable Qty]]/supply_chain_dashboard_raw_data3[[#This Row],[Ordered Qty]]</f>
        <v>9.0978260869565217E-2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D9402-AA64-4799-8B60-62F2FE6D4038}">
  <dimension ref="A1:H87"/>
  <sheetViews>
    <sheetView topLeftCell="A40" workbookViewId="0">
      <selection activeCell="S65" sqref="S65"/>
    </sheetView>
  </sheetViews>
  <sheetFormatPr defaultRowHeight="15" x14ac:dyDescent="0.25"/>
  <cols>
    <col min="1" max="1" width="17.7109375" bestFit="1" customWidth="1"/>
    <col min="2" max="2" width="21.42578125" bestFit="1" customWidth="1"/>
    <col min="3" max="3" width="20" bestFit="1" customWidth="1"/>
    <col min="4" max="4" width="23.7109375" bestFit="1" customWidth="1"/>
    <col min="6" max="6" width="15.7109375" bestFit="1" customWidth="1"/>
    <col min="7" max="7" width="24.28515625" bestFit="1" customWidth="1"/>
    <col min="8" max="8" width="23.7109375" bestFit="1" customWidth="1"/>
    <col min="9" max="20" width="4.5703125" bestFit="1" customWidth="1"/>
    <col min="21" max="26" width="5.5703125" bestFit="1" customWidth="1"/>
    <col min="27" max="27" width="20.7109375" bestFit="1" customWidth="1"/>
    <col min="28" max="40" width="4.5703125" bestFit="1" customWidth="1"/>
    <col min="41" max="46" width="5.5703125" bestFit="1" customWidth="1"/>
    <col min="47" max="47" width="28.7109375" bestFit="1" customWidth="1"/>
    <col min="48" max="48" width="25.85546875" bestFit="1" customWidth="1"/>
    <col min="49" max="49" width="8.42578125" bestFit="1" customWidth="1"/>
    <col min="50" max="51" width="4.5703125" bestFit="1" customWidth="1"/>
    <col min="52" max="52" width="8.42578125" bestFit="1" customWidth="1"/>
    <col min="53" max="53" width="5.5703125" bestFit="1" customWidth="1"/>
    <col min="54" max="54" width="8.42578125" bestFit="1" customWidth="1"/>
    <col min="55" max="55" width="4.5703125" bestFit="1" customWidth="1"/>
    <col min="56" max="56" width="8.42578125" bestFit="1" customWidth="1"/>
    <col min="57" max="57" width="5.5703125" bestFit="1" customWidth="1"/>
    <col min="58" max="58" width="8.42578125" bestFit="1" customWidth="1"/>
    <col min="59" max="59" width="5.5703125" bestFit="1" customWidth="1"/>
    <col min="60" max="60" width="8.42578125" bestFit="1" customWidth="1"/>
    <col min="61" max="61" width="5.5703125" bestFit="1" customWidth="1"/>
    <col min="62" max="62" width="8.42578125" bestFit="1" customWidth="1"/>
    <col min="63" max="63" width="5.5703125" bestFit="1" customWidth="1"/>
    <col min="64" max="64" width="8.42578125" bestFit="1" customWidth="1"/>
    <col min="65" max="65" width="4.5703125" bestFit="1" customWidth="1"/>
    <col min="66" max="66" width="8.42578125" bestFit="1" customWidth="1"/>
    <col min="67" max="67" width="4.5703125" bestFit="1" customWidth="1"/>
    <col min="68" max="68" width="8.42578125" bestFit="1" customWidth="1"/>
    <col min="69" max="69" width="4.5703125" bestFit="1" customWidth="1"/>
    <col min="70" max="70" width="8.42578125" bestFit="1" customWidth="1"/>
    <col min="71" max="71" width="4.5703125" bestFit="1" customWidth="1"/>
    <col min="72" max="72" width="8.42578125" bestFit="1" customWidth="1"/>
    <col min="73" max="73" width="4.5703125" bestFit="1" customWidth="1"/>
    <col min="74" max="74" width="8.42578125" bestFit="1" customWidth="1"/>
    <col min="75" max="75" width="4.5703125" bestFit="1" customWidth="1"/>
    <col min="76" max="76" width="8.42578125" bestFit="1" customWidth="1"/>
    <col min="77" max="77" width="4.5703125" bestFit="1" customWidth="1"/>
    <col min="78" max="78" width="8.42578125" bestFit="1" customWidth="1"/>
    <col min="79" max="79" width="4.5703125" bestFit="1" customWidth="1"/>
    <col min="80" max="80" width="8.42578125" bestFit="1" customWidth="1"/>
    <col min="81" max="81" width="4.5703125" bestFit="1" customWidth="1"/>
    <col min="82" max="82" width="8.42578125" bestFit="1" customWidth="1"/>
    <col min="83" max="83" width="4.5703125" bestFit="1" customWidth="1"/>
    <col min="84" max="84" width="9.42578125" bestFit="1" customWidth="1"/>
    <col min="85" max="85" width="28.7109375" bestFit="1" customWidth="1"/>
    <col min="86" max="86" width="25.85546875" bestFit="1" customWidth="1"/>
  </cols>
  <sheetData>
    <row r="1" spans="1:2" x14ac:dyDescent="0.25">
      <c r="A1" s="4" t="s">
        <v>70</v>
      </c>
      <c r="B1" t="s">
        <v>72</v>
      </c>
    </row>
    <row r="2" spans="1:2" x14ac:dyDescent="0.25">
      <c r="A2" s="5">
        <v>50</v>
      </c>
      <c r="B2" s="9">
        <v>0.86586231369765787</v>
      </c>
    </row>
    <row r="3" spans="1:2" x14ac:dyDescent="0.25">
      <c r="A3" s="6" t="s">
        <v>74</v>
      </c>
      <c r="B3" s="9">
        <v>0.86586231369765787</v>
      </c>
    </row>
    <row r="4" spans="1:2" x14ac:dyDescent="0.25">
      <c r="A4" s="5">
        <v>49</v>
      </c>
      <c r="B4" s="9">
        <v>0.90134847409510288</v>
      </c>
    </row>
    <row r="5" spans="1:2" x14ac:dyDescent="0.25">
      <c r="A5" s="6" t="s">
        <v>74</v>
      </c>
      <c r="B5" s="9">
        <v>0.90134847409510288</v>
      </c>
    </row>
    <row r="6" spans="1:2" x14ac:dyDescent="0.25">
      <c r="A6" s="5">
        <v>48</v>
      </c>
      <c r="B6" s="9">
        <v>1.0149041873669269</v>
      </c>
    </row>
    <row r="7" spans="1:2" x14ac:dyDescent="0.25">
      <c r="A7" s="6" t="s">
        <v>74</v>
      </c>
      <c r="B7" s="9">
        <v>1.0149041873669269</v>
      </c>
    </row>
    <row r="8" spans="1:2" x14ac:dyDescent="0.25">
      <c r="A8" s="5">
        <v>47</v>
      </c>
      <c r="B8" s="9">
        <v>1.0361958836053939</v>
      </c>
    </row>
    <row r="9" spans="1:2" x14ac:dyDescent="0.25">
      <c r="A9" s="6" t="s">
        <v>74</v>
      </c>
      <c r="B9" s="9">
        <v>1.0361958836053939</v>
      </c>
    </row>
    <row r="10" spans="1:2" x14ac:dyDescent="0.25">
      <c r="A10" s="5">
        <v>46</v>
      </c>
      <c r="B10" s="9">
        <v>1.1284599006387508</v>
      </c>
    </row>
    <row r="11" spans="1:2" x14ac:dyDescent="0.25">
      <c r="A11" s="6" t="s">
        <v>74</v>
      </c>
      <c r="B11" s="9">
        <v>1.1284599006387508</v>
      </c>
    </row>
    <row r="12" spans="1:2" x14ac:dyDescent="0.25">
      <c r="A12" s="5">
        <v>43</v>
      </c>
      <c r="B12" s="9">
        <v>0.96522356281050392</v>
      </c>
    </row>
    <row r="13" spans="1:2" x14ac:dyDescent="0.25">
      <c r="A13" s="6" t="s">
        <v>74</v>
      </c>
      <c r="B13" s="9">
        <v>0.96522356281050392</v>
      </c>
    </row>
    <row r="14" spans="1:2" x14ac:dyDescent="0.25">
      <c r="A14" s="5">
        <v>42</v>
      </c>
      <c r="B14" s="9">
        <v>0.85876508161816889</v>
      </c>
    </row>
    <row r="15" spans="1:2" x14ac:dyDescent="0.25">
      <c r="A15" s="6" t="s">
        <v>74</v>
      </c>
      <c r="B15" s="9">
        <v>0.85876508161816889</v>
      </c>
    </row>
    <row r="16" spans="1:2" x14ac:dyDescent="0.25">
      <c r="A16" s="5">
        <v>41</v>
      </c>
      <c r="B16" s="9">
        <v>1.0929737402413058</v>
      </c>
    </row>
    <row r="17" spans="1:8" x14ac:dyDescent="0.25">
      <c r="A17" s="6" t="s">
        <v>74</v>
      </c>
      <c r="B17" s="9">
        <v>1.0929737402413058</v>
      </c>
    </row>
    <row r="18" spans="1:8" x14ac:dyDescent="0.25">
      <c r="A18" s="5">
        <v>40</v>
      </c>
      <c r="B18" s="9">
        <v>0.93683463449254789</v>
      </c>
    </row>
    <row r="19" spans="1:8" x14ac:dyDescent="0.25">
      <c r="A19" s="6" t="s">
        <v>74</v>
      </c>
      <c r="B19" s="9">
        <v>0.93683463449254789</v>
      </c>
    </row>
    <row r="20" spans="1:8" x14ac:dyDescent="0.25">
      <c r="A20" s="5">
        <v>39</v>
      </c>
      <c r="B20" s="9">
        <v>1.0432931156848828</v>
      </c>
    </row>
    <row r="21" spans="1:8" x14ac:dyDescent="0.25">
      <c r="A21" s="6" t="s">
        <v>74</v>
      </c>
      <c r="B21" s="9">
        <v>1.0432931156848828</v>
      </c>
    </row>
    <row r="22" spans="1:8" x14ac:dyDescent="0.25">
      <c r="A22" s="5">
        <v>10</v>
      </c>
      <c r="B22" s="9">
        <v>0.8942512420156139</v>
      </c>
    </row>
    <row r="23" spans="1:8" x14ac:dyDescent="0.25">
      <c r="A23" s="6" t="s">
        <v>73</v>
      </c>
      <c r="B23" s="9">
        <v>0.8942512420156139</v>
      </c>
    </row>
    <row r="24" spans="1:8" x14ac:dyDescent="0.25">
      <c r="A24" s="5">
        <v>9</v>
      </c>
      <c r="B24" s="9">
        <v>1.071682044002839</v>
      </c>
    </row>
    <row r="25" spans="1:8" x14ac:dyDescent="0.25">
      <c r="A25" s="6" t="s">
        <v>73</v>
      </c>
      <c r="B25" s="9">
        <v>1.071682044002839</v>
      </c>
    </row>
    <row r="26" spans="1:8" x14ac:dyDescent="0.25">
      <c r="A26" s="5">
        <v>8</v>
      </c>
      <c r="B26" s="9">
        <v>1.0078069552874378</v>
      </c>
      <c r="F26" s="4" t="s">
        <v>70</v>
      </c>
      <c r="G26" t="s">
        <v>82</v>
      </c>
      <c r="H26" t="s">
        <v>81</v>
      </c>
    </row>
    <row r="27" spans="1:8" x14ac:dyDescent="0.25">
      <c r="A27" s="6" t="s">
        <v>73</v>
      </c>
      <c r="B27" s="9">
        <v>1.0078069552874378</v>
      </c>
      <c r="F27" s="5" t="s">
        <v>55</v>
      </c>
      <c r="G27" s="8">
        <v>0.99569892473118282</v>
      </c>
      <c r="H27" s="8">
        <v>5.7956989247311831E-2</v>
      </c>
    </row>
    <row r="28" spans="1:8" x14ac:dyDescent="0.25">
      <c r="A28" s="5">
        <v>7</v>
      </c>
      <c r="B28" s="9">
        <v>0.97941802696948188</v>
      </c>
      <c r="F28" s="5" t="s">
        <v>33</v>
      </c>
      <c r="G28" s="8">
        <v>0.92384353741496605</v>
      </c>
      <c r="H28" s="8">
        <v>7.0000000000000007E-2</v>
      </c>
    </row>
    <row r="29" spans="1:8" x14ac:dyDescent="0.25">
      <c r="A29" s="6" t="s">
        <v>73</v>
      </c>
      <c r="B29" s="9">
        <v>0.97941802696948188</v>
      </c>
      <c r="F29" s="5" t="s">
        <v>17</v>
      </c>
      <c r="G29" s="8">
        <v>0.98726005253586591</v>
      </c>
      <c r="H29" s="8">
        <v>6.6712467165083861E-2</v>
      </c>
    </row>
    <row r="30" spans="1:8" x14ac:dyDescent="0.25">
      <c r="A30" s="5">
        <v>6</v>
      </c>
      <c r="B30" s="9">
        <v>1.0503903477643719</v>
      </c>
      <c r="F30" s="5" t="s">
        <v>41</v>
      </c>
      <c r="G30" s="8">
        <v>0.96149724192277386</v>
      </c>
      <c r="H30" s="8">
        <v>0.14095744680851063</v>
      </c>
    </row>
    <row r="31" spans="1:8" x14ac:dyDescent="0.25">
      <c r="A31" s="6" t="s">
        <v>73</v>
      </c>
      <c r="B31" s="9">
        <v>1.0503903477643719</v>
      </c>
      <c r="F31" s="5" t="s">
        <v>49</v>
      </c>
      <c r="G31" s="8">
        <v>0.98690721649484536</v>
      </c>
      <c r="H31" s="8">
        <v>0.14132591609676431</v>
      </c>
    </row>
    <row r="32" spans="1:8" x14ac:dyDescent="0.25">
      <c r="A32" s="5">
        <v>5</v>
      </c>
      <c r="B32" s="9">
        <v>0.91554293825408095</v>
      </c>
      <c r="F32" s="5" t="s">
        <v>46</v>
      </c>
      <c r="G32" s="8">
        <v>0.96758194186765611</v>
      </c>
      <c r="H32" s="8">
        <v>0.16447948876520307</v>
      </c>
    </row>
    <row r="33" spans="1:8" x14ac:dyDescent="0.25">
      <c r="A33" s="6" t="s">
        <v>73</v>
      </c>
      <c r="B33" s="9">
        <v>0.91554293825408095</v>
      </c>
      <c r="F33" s="5" t="s">
        <v>37</v>
      </c>
      <c r="G33" s="8">
        <v>0.95415747549019603</v>
      </c>
      <c r="H33" s="8">
        <v>0.20001838235294117</v>
      </c>
    </row>
    <row r="34" spans="1:8" x14ac:dyDescent="0.25">
      <c r="A34" s="5">
        <v>4</v>
      </c>
      <c r="B34" s="9">
        <v>1.071682044002839</v>
      </c>
      <c r="F34" s="5" t="s">
        <v>28</v>
      </c>
      <c r="G34" s="8">
        <v>1.0064905962384953</v>
      </c>
      <c r="H34" s="8">
        <v>9.3939575830332134E-2</v>
      </c>
    </row>
    <row r="35" spans="1:8" x14ac:dyDescent="0.25">
      <c r="A35" s="6" t="s">
        <v>73</v>
      </c>
      <c r="B35" s="9">
        <v>1.071682044002839</v>
      </c>
      <c r="F35" s="5" t="s">
        <v>59</v>
      </c>
      <c r="G35" s="8">
        <v>0.998</v>
      </c>
      <c r="H35" s="8">
        <v>5.8000000000000003E-2</v>
      </c>
    </row>
    <row r="36" spans="1:8" x14ac:dyDescent="0.25">
      <c r="A36" s="5">
        <v>3</v>
      </c>
      <c r="B36" s="9">
        <v>0.90844570617459186</v>
      </c>
      <c r="F36" s="5" t="s">
        <v>23</v>
      </c>
      <c r="G36" s="8">
        <v>0.99447789447972634</v>
      </c>
      <c r="H36" s="8">
        <v>0.13500977039570103</v>
      </c>
    </row>
    <row r="37" spans="1:8" x14ac:dyDescent="0.25">
      <c r="A37" s="6" t="s">
        <v>73</v>
      </c>
      <c r="B37" s="9">
        <v>0.90844570617459186</v>
      </c>
      <c r="F37" s="5" t="s">
        <v>52</v>
      </c>
      <c r="G37" s="8">
        <v>0.94547872340425532</v>
      </c>
      <c r="H37" s="8">
        <v>0.17097826086956522</v>
      </c>
    </row>
    <row r="38" spans="1:8" x14ac:dyDescent="0.25">
      <c r="A38" s="5">
        <v>2</v>
      </c>
      <c r="B38" s="9">
        <v>1.0645848119233499</v>
      </c>
      <c r="F38" s="5" t="s">
        <v>71</v>
      </c>
      <c r="G38" s="8">
        <v>0.97245441422143719</v>
      </c>
      <c r="H38" s="8">
        <v>1.2993782975314134</v>
      </c>
    </row>
    <row r="39" spans="1:8" x14ac:dyDescent="0.25">
      <c r="A39" s="6" t="s">
        <v>73</v>
      </c>
      <c r="B39" s="9">
        <v>1.0645848119233499</v>
      </c>
    </row>
    <row r="40" spans="1:8" x14ac:dyDescent="0.25">
      <c r="A40" s="5">
        <v>1</v>
      </c>
      <c r="B40" s="9">
        <v>1.1923349893541519</v>
      </c>
    </row>
    <row r="41" spans="1:8" x14ac:dyDescent="0.25">
      <c r="A41" s="6" t="s">
        <v>73</v>
      </c>
      <c r="B41" s="9">
        <v>1.1923349893541519</v>
      </c>
    </row>
    <row r="42" spans="1:8" x14ac:dyDescent="0.25">
      <c r="A42" s="6" t="s">
        <v>75</v>
      </c>
      <c r="B42" s="9">
        <v>0</v>
      </c>
    </row>
    <row r="43" spans="1:8" x14ac:dyDescent="0.25">
      <c r="A43" s="6" t="s">
        <v>76</v>
      </c>
      <c r="B43" s="9">
        <v>0.98438608942512418</v>
      </c>
    </row>
    <row r="44" spans="1:8" x14ac:dyDescent="0.25">
      <c r="A44" s="6" t="s">
        <v>77</v>
      </c>
      <c r="B44" s="9">
        <v>1.0156139105748758</v>
      </c>
    </row>
    <row r="45" spans="1:8" x14ac:dyDescent="0.25">
      <c r="A45" s="6" t="s">
        <v>78</v>
      </c>
      <c r="B45" s="9">
        <v>0</v>
      </c>
    </row>
    <row r="46" spans="1:8" x14ac:dyDescent="0.25">
      <c r="A46" s="5" t="s">
        <v>71</v>
      </c>
      <c r="B46" s="9">
        <v>1</v>
      </c>
    </row>
    <row r="48" spans="1:8" x14ac:dyDescent="0.25">
      <c r="A48" s="4" t="s">
        <v>70</v>
      </c>
      <c r="B48" t="s">
        <v>83</v>
      </c>
    </row>
    <row r="49" spans="1:2" x14ac:dyDescent="0.25">
      <c r="A49" s="5" t="s">
        <v>19</v>
      </c>
      <c r="B49" s="9">
        <v>0.59907834101382484</v>
      </c>
    </row>
    <row r="50" spans="1:2" x14ac:dyDescent="0.25">
      <c r="A50" s="5" t="s">
        <v>29</v>
      </c>
      <c r="B50" s="9">
        <v>0.4009216589861751</v>
      </c>
    </row>
    <row r="51" spans="1:2" x14ac:dyDescent="0.25">
      <c r="A51" s="5" t="s">
        <v>71</v>
      </c>
      <c r="B51" s="9">
        <v>1</v>
      </c>
    </row>
    <row r="64" spans="1:2" x14ac:dyDescent="0.25">
      <c r="A64" s="4" t="s">
        <v>70</v>
      </c>
      <c r="B64" t="s">
        <v>84</v>
      </c>
    </row>
    <row r="65" spans="1:2" x14ac:dyDescent="0.25">
      <c r="A65" s="5" t="s">
        <v>55</v>
      </c>
      <c r="B65" s="2">
        <v>76</v>
      </c>
    </row>
    <row r="66" spans="1:2" x14ac:dyDescent="0.25">
      <c r="A66" s="6" t="s">
        <v>38</v>
      </c>
      <c r="B66" s="2">
        <v>76</v>
      </c>
    </row>
    <row r="67" spans="1:2" x14ac:dyDescent="0.25">
      <c r="A67" s="5" t="s">
        <v>33</v>
      </c>
      <c r="B67" s="2">
        <v>147</v>
      </c>
    </row>
    <row r="68" spans="1:2" x14ac:dyDescent="0.25">
      <c r="A68" s="6" t="s">
        <v>18</v>
      </c>
      <c r="B68" s="2">
        <v>147</v>
      </c>
    </row>
    <row r="69" spans="1:2" x14ac:dyDescent="0.25">
      <c r="A69" s="5" t="s">
        <v>17</v>
      </c>
      <c r="B69" s="2">
        <v>169</v>
      </c>
    </row>
    <row r="70" spans="1:2" x14ac:dyDescent="0.25">
      <c r="A70" s="6" t="s">
        <v>18</v>
      </c>
      <c r="B70" s="2">
        <v>169</v>
      </c>
    </row>
    <row r="71" spans="1:2" x14ac:dyDescent="0.25">
      <c r="A71" s="5" t="s">
        <v>41</v>
      </c>
      <c r="B71" s="2">
        <v>152</v>
      </c>
    </row>
    <row r="72" spans="1:2" x14ac:dyDescent="0.25">
      <c r="A72" s="6" t="s">
        <v>42</v>
      </c>
      <c r="B72" s="2">
        <v>152</v>
      </c>
    </row>
    <row r="73" spans="1:2" x14ac:dyDescent="0.25">
      <c r="A73" s="5" t="s">
        <v>49</v>
      </c>
      <c r="B73" s="2">
        <v>163</v>
      </c>
    </row>
    <row r="74" spans="1:2" x14ac:dyDescent="0.25">
      <c r="A74" s="6" t="s">
        <v>42</v>
      </c>
      <c r="B74" s="2">
        <v>163</v>
      </c>
    </row>
    <row r="75" spans="1:2" x14ac:dyDescent="0.25">
      <c r="A75" s="5" t="s">
        <v>46</v>
      </c>
      <c r="B75" s="2">
        <v>154</v>
      </c>
    </row>
    <row r="76" spans="1:2" x14ac:dyDescent="0.25">
      <c r="A76" s="6" t="s">
        <v>42</v>
      </c>
      <c r="B76" s="2">
        <v>154</v>
      </c>
    </row>
    <row r="77" spans="1:2" x14ac:dyDescent="0.25">
      <c r="A77" s="5" t="s">
        <v>37</v>
      </c>
      <c r="B77" s="2">
        <v>156</v>
      </c>
    </row>
    <row r="78" spans="1:2" x14ac:dyDescent="0.25">
      <c r="A78" s="6" t="s">
        <v>38</v>
      </c>
      <c r="B78" s="2">
        <v>156</v>
      </c>
    </row>
    <row r="79" spans="1:2" x14ac:dyDescent="0.25">
      <c r="A79" s="5" t="s">
        <v>28</v>
      </c>
      <c r="B79" s="2">
        <v>174</v>
      </c>
    </row>
    <row r="80" spans="1:2" x14ac:dyDescent="0.25">
      <c r="A80" s="6" t="s">
        <v>18</v>
      </c>
      <c r="B80" s="2">
        <v>174</v>
      </c>
    </row>
    <row r="81" spans="1:2" x14ac:dyDescent="0.25">
      <c r="A81" s="5" t="s">
        <v>59</v>
      </c>
      <c r="B81" s="2">
        <v>87</v>
      </c>
    </row>
    <row r="82" spans="1:2" x14ac:dyDescent="0.25">
      <c r="A82" s="6" t="s">
        <v>42</v>
      </c>
      <c r="B82" s="2">
        <v>87</v>
      </c>
    </row>
    <row r="83" spans="1:2" x14ac:dyDescent="0.25">
      <c r="A83" s="5" t="s">
        <v>23</v>
      </c>
      <c r="B83" s="2">
        <v>156</v>
      </c>
    </row>
    <row r="84" spans="1:2" x14ac:dyDescent="0.25">
      <c r="A84" s="6" t="s">
        <v>18</v>
      </c>
      <c r="B84" s="2">
        <v>156</v>
      </c>
    </row>
    <row r="85" spans="1:2" x14ac:dyDescent="0.25">
      <c r="A85" s="5" t="s">
        <v>52</v>
      </c>
      <c r="B85" s="2">
        <v>139</v>
      </c>
    </row>
    <row r="86" spans="1:2" x14ac:dyDescent="0.25">
      <c r="A86" s="6" t="s">
        <v>38</v>
      </c>
      <c r="B86" s="2">
        <v>139</v>
      </c>
    </row>
    <row r="87" spans="1:2" x14ac:dyDescent="0.25">
      <c r="A87" s="5" t="s">
        <v>71</v>
      </c>
      <c r="B87" s="2">
        <v>1573</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3E7E2-2983-4A31-832E-CADCBA2DA362}">
  <dimension ref="A1:Y4"/>
  <sheetViews>
    <sheetView tabSelected="1" zoomScale="90" zoomScaleNormal="90" workbookViewId="0">
      <selection activeCell="AF14" sqref="AF14"/>
    </sheetView>
  </sheetViews>
  <sheetFormatPr defaultRowHeight="15" x14ac:dyDescent="0.25"/>
  <sheetData>
    <row r="1" spans="1:25" x14ac:dyDescent="0.25">
      <c r="A1" s="11" t="s">
        <v>85</v>
      </c>
      <c r="B1" s="11"/>
      <c r="C1" s="11"/>
      <c r="D1" s="11"/>
      <c r="E1" s="11"/>
      <c r="F1" s="11"/>
      <c r="G1" s="11"/>
      <c r="H1" s="11"/>
      <c r="I1" s="11"/>
      <c r="J1" s="11"/>
      <c r="K1" s="11"/>
      <c r="L1" s="11"/>
      <c r="M1" s="11"/>
      <c r="N1" s="11"/>
      <c r="O1" s="11"/>
      <c r="P1" s="11"/>
      <c r="Q1" s="11"/>
      <c r="R1" s="11"/>
      <c r="S1" s="11"/>
      <c r="T1" s="11"/>
      <c r="U1" s="11"/>
      <c r="V1" s="11"/>
      <c r="W1" s="11"/>
      <c r="X1" s="11"/>
      <c r="Y1" s="11"/>
    </row>
    <row r="2" spans="1:25" x14ac:dyDescent="0.25">
      <c r="A2" s="11"/>
      <c r="B2" s="11"/>
      <c r="C2" s="11"/>
      <c r="D2" s="11"/>
      <c r="E2" s="11"/>
      <c r="F2" s="11"/>
      <c r="G2" s="11"/>
      <c r="H2" s="11"/>
      <c r="I2" s="11"/>
      <c r="J2" s="11"/>
      <c r="K2" s="11"/>
      <c r="L2" s="11"/>
      <c r="M2" s="11"/>
      <c r="N2" s="11"/>
      <c r="O2" s="11"/>
      <c r="P2" s="11"/>
      <c r="Q2" s="11"/>
      <c r="R2" s="11"/>
      <c r="S2" s="11"/>
      <c r="T2" s="11"/>
      <c r="U2" s="11"/>
      <c r="V2" s="11"/>
      <c r="W2" s="11"/>
      <c r="X2" s="11"/>
      <c r="Y2" s="11"/>
    </row>
    <row r="3" spans="1:25" x14ac:dyDescent="0.25">
      <c r="A3" s="11"/>
      <c r="B3" s="11"/>
      <c r="C3" s="11"/>
      <c r="D3" s="11"/>
      <c r="E3" s="11"/>
      <c r="F3" s="11"/>
      <c r="G3" s="11"/>
      <c r="H3" s="11"/>
      <c r="I3" s="11"/>
      <c r="J3" s="11"/>
      <c r="K3" s="11"/>
      <c r="L3" s="11"/>
      <c r="M3" s="11"/>
      <c r="N3" s="11"/>
      <c r="O3" s="11"/>
      <c r="P3" s="11"/>
      <c r="Q3" s="11"/>
      <c r="R3" s="11"/>
      <c r="S3" s="11"/>
      <c r="T3" s="11"/>
      <c r="U3" s="11"/>
      <c r="V3" s="11"/>
      <c r="W3" s="11"/>
      <c r="X3" s="11"/>
      <c r="Y3" s="11"/>
    </row>
    <row r="4" spans="1:25" x14ac:dyDescent="0.25">
      <c r="A4" s="10"/>
      <c r="B4" s="10"/>
      <c r="C4" s="10"/>
      <c r="D4" s="10"/>
      <c r="E4" s="10"/>
      <c r="F4" s="10"/>
      <c r="G4" s="10"/>
      <c r="H4" s="10"/>
      <c r="I4" s="10"/>
      <c r="J4" s="10"/>
      <c r="K4" s="10"/>
      <c r="L4" s="10"/>
      <c r="M4" s="10"/>
      <c r="N4" s="10"/>
      <c r="O4" s="10"/>
      <c r="P4" s="10"/>
      <c r="Q4" s="10"/>
      <c r="R4" s="10"/>
      <c r="S4" s="10"/>
      <c r="T4" s="10"/>
      <c r="U4" s="10"/>
      <c r="V4" s="10"/>
      <c r="W4" s="10"/>
      <c r="X4" s="10"/>
      <c r="Y4" s="10"/>
    </row>
  </sheetData>
  <mergeCells count="1">
    <mergeCell ref="A1:Y3"/>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AEDD171-ADF1-4C52-BD2E-19B718863F7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supply_chain_dashboard_raw_data</vt:lpstr>
      <vt:lpstr>Data</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Wisshpy</dc:creator>
  <cp:lastModifiedBy>Cristian Barany</cp:lastModifiedBy>
  <dcterms:created xsi:type="dcterms:W3CDTF">2015-06-05T18:17:20Z</dcterms:created>
  <dcterms:modified xsi:type="dcterms:W3CDTF">2026-05-24T23:08:27Z</dcterms:modified>
</cp:coreProperties>
</file>